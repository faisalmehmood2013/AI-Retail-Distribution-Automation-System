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7" sheetId="1" r:id="rId4"/>
    <sheet state="visible" name="Customer Feedback" sheetId="2" r:id="rId5"/>
    <sheet state="visible" name="New Product Campaign" sheetId="3" r:id="rId6"/>
    <sheet state="visible" name="Expense Record" sheetId="4" r:id="rId7"/>
    <sheet state="visible" name="Delivery Status" sheetId="5" r:id="rId8"/>
    <sheet state="visible" name="Supplier Infomation" sheetId="6" r:id="rId9"/>
    <sheet state="visible" name="Purchase Order" sheetId="7" r:id="rId10"/>
    <sheet state="visible" name="Stock Received" sheetId="8" r:id="rId11"/>
    <sheet state="visible" name="Purchase Register" sheetId="9" r:id="rId12"/>
    <sheet state="visible" name="Sales Register" sheetId="10" r:id="rId13"/>
    <sheet state="visible" name="Stock Register" sheetId="11" r:id="rId14"/>
    <sheet state="visible" name="Customer Order" sheetId="12" r:id="rId15"/>
    <sheet state="visible" name="Dispatch" sheetId="13" r:id="rId16"/>
    <sheet state="visible" name="Invoice" sheetId="14" r:id="rId17"/>
    <sheet state="visible" name="Payment" sheetId="15" r:id="rId18"/>
    <sheet state="visible" name="PL" sheetId="16" r:id="rId19"/>
    <sheet state="visible" name="Campaign Logs New Product" sheetId="17" r:id="rId20"/>
    <sheet state="visible" name="Slow Moving Stock Campaign " sheetId="18" r:id="rId21"/>
    <sheet state="visible" name="Personalized Campaign Logs" sheetId="19" r:id="rId22"/>
    <sheet state="visible" name="Feedback Logs" sheetId="20" r:id="rId23"/>
  </sheets>
  <definedNames/>
  <calcPr/>
</workbook>
</file>

<file path=xl/sharedStrings.xml><?xml version="1.0" encoding="utf-8"?>
<sst xmlns="http://schemas.openxmlformats.org/spreadsheetml/2006/main" count="430" uniqueCount="220">
  <si>
    <t>📝 Complete Business Workflow Summary (17 Steps)</t>
  </si>
  <si>
    <t>Step No.</t>
  </si>
  <si>
    <t>Step Name</t>
  </si>
  <si>
    <t>Customer-Facing Trigger/Medium</t>
  </si>
  <si>
    <t>Part 1: Order, Logistics, and Financial Setup</t>
  </si>
  <si>
    <t>Customer Order via Chat</t>
  </si>
  <si>
    <t>Chat (WhatsApp, etc.)</t>
  </si>
  <si>
    <t>Invoice Process &amp; Email to Customer</t>
  </si>
  <si>
    <t>Internal System Check / Email (Invoice Dispatch)</t>
  </si>
  <si>
    <t>Purchase Order (PO) and Supplier Communication</t>
  </si>
  <si>
    <t>Expiry Stock Alert System</t>
  </si>
  <si>
    <t>Internal System Check (Time/Condition-based)</t>
  </si>
  <si>
    <t>Daily Dispatch and Customer Notification</t>
  </si>
  <si>
    <t>Internal System Check / Email (Dispatch Confirmation)</t>
  </si>
  <si>
    <t>Delivery Status Monitoring and Alert</t>
  </si>
  <si>
    <t>Internal System Check (Daily 6 PM Trigger)</t>
  </si>
  <si>
    <t>Delivery Confirmation and Final Customer Notification</t>
  </si>
  <si>
    <t>Form (Delivery Man Submission) / Email (Delivery Confirmation)</t>
  </si>
  <si>
    <t>Part 2: Inventory, Finance, and Reporting</t>
  </si>
  <si>
    <t>Sales Analysis and Stock Register Enrichment</t>
  </si>
  <si>
    <t>Internal System Check</t>
  </si>
  <si>
    <t>Automated Reorder and Purchase Order Generation</t>
  </si>
  <si>
    <t>Internal System Check (ROL Condition Met)</t>
  </si>
  <si>
    <t>Dead Stock and Slow-Moving Inventory Alert</t>
  </si>
  <si>
    <t>Internal System Check (Weekly/Monthly Trigger)</t>
  </si>
  <si>
    <t>Payment Register Reconciliation and Due Date Setting</t>
  </si>
  <si>
    <t>Internal System Check (Daily 11 PM Trigger)</t>
  </si>
  <si>
    <t>Overdue Payment Alert and Follow-up</t>
  </si>
  <si>
    <t>Internal System Check / Email (Overdue Reminder)</t>
  </si>
  <si>
    <t>Monthly Financial Reporting (P&amp;L and Stock Valuation)</t>
  </si>
  <si>
    <t>Internal System Check (Monthly Trigger)</t>
  </si>
  <si>
    <t>Part 3: Sales and Customer Relationship Management (CRM)</t>
  </si>
  <si>
    <t>New Product Launch Communication</t>
  </si>
  <si>
    <t>Internal System Check / Email (Launch Alert)</t>
  </si>
  <si>
    <t>Proactive Clearance Discount Campaign</t>
  </si>
  <si>
    <t>Internal System Check / Email (Discount Offer)</t>
  </si>
  <si>
    <t>Personalized Customer Retention Campaign</t>
  </si>
  <si>
    <t>Internal System Check / Email (Personalized Offer)</t>
  </si>
  <si>
    <t>Automated Customer Feedback Loop</t>
  </si>
  <si>
    <t>Form (Customer Submission) / Email (Confirmation &amp; Reply)</t>
  </si>
  <si>
    <t>Internal System Check refers to processes triggered automatically by the system itself (e.g., at a specific time, like 6:00 PM, or when a condition is met, like stock falling below 500).</t>
  </si>
  <si>
    <t>Timestamp</t>
  </si>
  <si>
    <t>Customer Name</t>
  </si>
  <si>
    <t>WhatsApp Number</t>
  </si>
  <si>
    <t>Email</t>
  </si>
  <si>
    <t xml:space="preserve"> Order ID </t>
  </si>
  <si>
    <t xml:space="preserve">  Feedback Category </t>
  </si>
  <si>
    <t>Feedback Message</t>
  </si>
  <si>
    <t>Consent</t>
  </si>
  <si>
    <t>Asif</t>
  </si>
  <si>
    <t>0343-4379809</t>
  </si>
  <si>
    <t>shahfaisal1234@gmail.com</t>
  </si>
  <si>
    <t>ORD-123456789</t>
  </si>
  <si>
    <t>Delivery issue</t>
  </si>
  <si>
    <t>I am not satisfied with the delivery timeline</t>
  </si>
  <si>
    <t>Product ID</t>
  </si>
  <si>
    <t>Product Name</t>
  </si>
  <si>
    <t>Category</t>
  </si>
  <si>
    <t xml:space="preserve">Price </t>
  </si>
  <si>
    <t>Product Description</t>
  </si>
  <si>
    <t>Nestle Juice</t>
  </si>
  <si>
    <t>Juices</t>
  </si>
  <si>
    <t>Experience the tropical fusion of real mango and tangy passionfruit in Nestlé's new juice, packed with natural Vitamin C and absolutely no added sugar</t>
  </si>
  <si>
    <t>Expense Type</t>
  </si>
  <si>
    <t>Description</t>
  </si>
  <si>
    <t>Amount</t>
  </si>
  <si>
    <t>2025-12-02T12:15:02.044-05:00</t>
  </si>
  <si>
    <t>Fuel</t>
  </si>
  <si>
    <t xml:space="preserve">Bike </t>
  </si>
  <si>
    <t>2025-11-02T12:15:02.044-05:00</t>
  </si>
  <si>
    <t>Order ID</t>
  </si>
  <si>
    <t xml:space="preserve">Delivery Status </t>
  </si>
  <si>
    <t xml:space="preserve">Amount Paid  </t>
  </si>
  <si>
    <t>Payment Method</t>
  </si>
  <si>
    <t>Ord-1764684181323</t>
  </si>
  <si>
    <t>Delivered</t>
  </si>
  <si>
    <t>company_name</t>
  </si>
  <si>
    <t>contact_number</t>
  </si>
  <si>
    <t>email</t>
  </si>
  <si>
    <t>contact_person</t>
  </si>
  <si>
    <t>product</t>
  </si>
  <si>
    <t>product_id</t>
  </si>
  <si>
    <t>product_name</t>
  </si>
  <si>
    <t>size</t>
  </si>
  <si>
    <t>category</t>
  </si>
  <si>
    <t>Nestle Water Pvt. Ltd.</t>
  </si>
  <si>
    <t>Faisal Mehmood</t>
  </si>
  <si>
    <t>nestle_water</t>
  </si>
  <si>
    <t>Nestle Water Pure Life</t>
  </si>
  <si>
    <t>500 ml</t>
  </si>
  <si>
    <t>water</t>
  </si>
  <si>
    <t>1500 ml</t>
  </si>
  <si>
    <t>5 Litre</t>
  </si>
  <si>
    <t>19 Litre</t>
  </si>
  <si>
    <t>timestamp</t>
  </si>
  <si>
    <t>qty_order</t>
  </si>
  <si>
    <t>2025-12-02T10:16:41.243-05:00</t>
  </si>
  <si>
    <t>2025-12-02T14:55:14.257-05:00</t>
  </si>
  <si>
    <t>invoice_no</t>
  </si>
  <si>
    <t>qty_recieved</t>
  </si>
  <si>
    <t>cost_price</t>
  </si>
  <si>
    <t>total_cost</t>
  </si>
  <si>
    <t>expiry_date</t>
  </si>
  <si>
    <t>expairy_days_remaining</t>
  </si>
  <si>
    <t>expiry_alert_sent</t>
  </si>
  <si>
    <t>2025-11-18T12:15:02.044-05:00</t>
  </si>
  <si>
    <t>Inv-1764275633816</t>
  </si>
  <si>
    <t>18-11-2026</t>
  </si>
  <si>
    <t>No</t>
  </si>
  <si>
    <t>Inv-1764275633825</t>
  </si>
  <si>
    <t>Inv-1764275633845</t>
  </si>
  <si>
    <t>Inv-1764275633860</t>
  </si>
  <si>
    <t>INV-1764695702045</t>
  </si>
  <si>
    <t>23-12-2025</t>
  </si>
  <si>
    <t>Yes</t>
  </si>
  <si>
    <t>Sr</t>
  </si>
  <si>
    <t>qty_received</t>
  </si>
  <si>
    <t>cost_price_per_unit</t>
  </si>
  <si>
    <t>sale_price_per_unit</t>
  </si>
  <si>
    <t>sr #</t>
  </si>
  <si>
    <t>sale</t>
  </si>
  <si>
    <t>sale_price</t>
  </si>
  <si>
    <t>total_sale</t>
  </si>
  <si>
    <t>purchase_stock</t>
  </si>
  <si>
    <t>sale_stock</t>
  </si>
  <si>
    <t>current_stock</t>
  </si>
  <si>
    <t>total_purchase</t>
  </si>
  <si>
    <t>status</t>
  </si>
  <si>
    <t>reorder_level</t>
  </si>
  <si>
    <t>need_to_reorder</t>
  </si>
  <si>
    <t>last_30_days_sale</t>
  </si>
  <si>
    <t>days_since_last_sale</t>
  </si>
  <si>
    <t>quntity</t>
  </si>
  <si>
    <t>price</t>
  </si>
  <si>
    <t>total_price</t>
  </si>
  <si>
    <t>order_id</t>
  </si>
  <si>
    <t>customer_name</t>
  </si>
  <si>
    <t>whatsapp_number</t>
  </si>
  <si>
    <t>address</t>
  </si>
  <si>
    <t>landmark</t>
  </si>
  <si>
    <t>payment_method</t>
  </si>
  <si>
    <t>delivery_time_preference</t>
  </si>
  <si>
    <t>description</t>
  </si>
  <si>
    <t>Faisal Mahmood</t>
  </si>
  <si>
    <t>Multan</t>
  </si>
  <si>
    <t>Faisal Mosque</t>
  </si>
  <si>
    <t>Pending</t>
  </si>
  <si>
    <t>Afternoon</t>
  </si>
  <si>
    <t>Order accepted (in stock)</t>
  </si>
  <si>
    <t>dispatch_date</t>
  </si>
  <si>
    <t>delivery_person</t>
  </si>
  <si>
    <t>delivery_contact</t>
  </si>
  <si>
    <t>customer_phone</t>
  </si>
  <si>
    <t>customer_email</t>
  </si>
  <si>
    <t>delivery_deadline</t>
  </si>
  <si>
    <t>current_status</t>
  </si>
  <si>
    <t>alert_sent</t>
  </si>
  <si>
    <t>Salesman Name</t>
  </si>
  <si>
    <t>YES</t>
  </si>
  <si>
    <t>invoice no</t>
  </si>
  <si>
    <t>date</t>
  </si>
  <si>
    <t>whatsapp_no</t>
  </si>
  <si>
    <t>total_amount</t>
  </si>
  <si>
    <t xml:space="preserve">INV-1764687120673
</t>
  </si>
  <si>
    <t>2025-11-18T00:00:00.000-05:00</t>
  </si>
  <si>
    <t>payment_status</t>
  </si>
  <si>
    <t>amount_paid</t>
  </si>
  <si>
    <t>balance</t>
  </si>
  <si>
    <t>due_date</t>
  </si>
  <si>
    <t>Paid</t>
  </si>
  <si>
    <t>Cash Paid</t>
  </si>
  <si>
    <t>Date</t>
  </si>
  <si>
    <t>Total Revenue</t>
  </si>
  <si>
    <t>Total CGOS</t>
  </si>
  <si>
    <t>Gross Profit</t>
  </si>
  <si>
    <t>Total Expense</t>
  </si>
  <si>
    <t>Net Profit / Loss</t>
  </si>
  <si>
    <t>Current Stock Total Value</t>
  </si>
  <si>
    <t>2025-12-03T06:22:51.592-05:00</t>
  </si>
  <si>
    <t>Customer Email</t>
  </si>
  <si>
    <t>Status</t>
  </si>
  <si>
    <t>2025-12-03T08:16:56.042-05:00</t>
  </si>
  <si>
    <t>there</t>
  </si>
  <si>
    <t>shareknow29@gmail.com</t>
  </si>
  <si>
    <t>Sent</t>
  </si>
  <si>
    <t>2025-12-03T08:18:31.832-05:00</t>
  </si>
  <si>
    <t>2025-12-03T11:10:46.566-05:00</t>
  </si>
  <si>
    <t>Nestle Juices</t>
  </si>
  <si>
    <t>2025-12-03T11:20:40.867-05:00</t>
  </si>
  <si>
    <t>2025-12-03T11:22:52.874-05:00</t>
  </si>
  <si>
    <t>Size</t>
  </si>
  <si>
    <t>Original_Price</t>
  </si>
  <si>
    <t>Discounted Price</t>
  </si>
  <si>
    <t>Offer Message</t>
  </si>
  <si>
    <t>2025-12-03T12:26:01.461-05:00</t>
  </si>
  <si>
    <t>Special Offer! Nestle Water Pure Life (1500 ml) is available at Rs 160 instead of Rs 200! Limited time only.</t>
  </si>
  <si>
    <t>"Sent"</t>
  </si>
  <si>
    <t>2025-12-03T12:26:01.468-05:00</t>
  </si>
  <si>
    <t>Special Offer! Nestle Water Pure Life (5 Litre) is available at Rs 320 instead of Rs 400! Limited time only.</t>
  </si>
  <si>
    <t>2025-12-03T12:26:01.471-05:00</t>
  </si>
  <si>
    <t>Special Offer! Nestle Water Pure Life (19 Litre) is available at Rs 800 instead of Rs 1000! Limited time only.</t>
  </si>
  <si>
    <t>2025-12-03T12:27:51.383-05:00</t>
  </si>
  <si>
    <t>2025-12-03T12:27:51.392-05:00</t>
  </si>
  <si>
    <t>2025-12-03T12:27:51.395-05:00</t>
  </si>
  <si>
    <t>OrderID</t>
  </si>
  <si>
    <t>Name</t>
  </si>
  <si>
    <t>Subject</t>
  </si>
  <si>
    <t>EmailBody</t>
  </si>
  <si>
    <t>CouponCode</t>
  </si>
  <si>
    <t>DiscountPercent</t>
  </si>
  <si>
    <t>UrgencyText</t>
  </si>
  <si>
    <t>2025-12-03T13:38:10.391-05:00</t>
  </si>
  <si>
    <t>Special offer for Faisal Mahmood</t>
  </si>
  <si>
    <t xml:space="preserve">
     &lt;br&gt;&lt;br&gt;We have a special offer for you! Use the code &lt;b&gt;SAVE20&lt;/b&gt; at checkout to save &lt;b&gt;20%&lt;/b&gt; on your next purchase.&lt;br&gt;&lt;br&gt;
      Hurry, this offer expires soon!&lt;br&gt;
    </t>
  </si>
  <si>
    <t>SAVE20</t>
  </si>
  <si>
    <t>Hurry, this offer expires soon!</t>
  </si>
  <si>
    <t>Acknowledgment Sent</t>
  </si>
  <si>
    <t>Processed Time</t>
  </si>
  <si>
    <t>SENT</t>
  </si>
  <si>
    <t>UNREAD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</si>
</sst>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yyyy-mm-dd"/>
  </numFmts>
  <fonts count="13">
    <font>
      <sz val="10.0"/>
      <color rgb="FF000000"/>
      <name val="Arial"/>
      <scheme val="minor"/>
    </font>
    <font>
      <b/>
      <sz val="12.0"/>
      <color theme="1"/>
      <name val="&quot;Google Sans&quot;"/>
    </font>
    <font>
      <b/>
      <sz val="12.0"/>
      <color theme="1"/>
      <name val="&quot;Google Sans Text&quot;"/>
    </font>
    <font>
      <b/>
      <sz val="12.0"/>
      <color theme="1"/>
      <name val="Arial"/>
      <scheme val="minor"/>
    </font>
    <font>
      <sz val="12.0"/>
      <color rgb="FF1F1F1F"/>
      <name val="&quot;Google Sans Text&quot;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sz val="11.0"/>
      <color theme="1"/>
      <name val="Arial"/>
      <scheme val="minor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2" fillId="2" fontId="8" numFmtId="164" xfId="0" applyAlignment="1" applyBorder="1" applyFill="1" applyFont="1" applyNumberFormat="1">
      <alignment horizontal="right" shrinkToFit="0" vertical="center" wrapText="0"/>
    </xf>
    <xf borderId="3" fillId="2" fontId="8" numFmtId="0" xfId="0" applyAlignment="1" applyBorder="1" applyFont="1">
      <alignment readingOrder="0" shrinkToFit="0" vertical="center" wrapText="0"/>
    </xf>
    <xf borderId="3" fillId="2" fontId="8" numFmtId="0" xfId="0" applyAlignment="1" applyBorder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4" fillId="2" fontId="8" numFmtId="0" xfId="0" applyAlignment="1" applyBorder="1" applyFont="1">
      <alignment horizontal="right" readingOrder="0" shrinkToFit="0" vertical="center" wrapText="0"/>
    </xf>
    <xf borderId="0" fillId="2" fontId="8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9" numFmtId="0" xfId="0" applyFont="1"/>
    <xf borderId="0" fillId="0" fontId="10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65" xfId="0" applyFont="1" applyNumberFormat="1"/>
    <xf borderId="0" fillId="0" fontId="11" numFmtId="0" xfId="0" applyAlignment="1" applyFont="1">
      <alignment horizontal="left" vertical="bottom"/>
    </xf>
    <xf borderId="0" fillId="0" fontId="7" numFmtId="0" xfId="0" applyAlignment="1" applyFont="1">
      <alignment horizontal="left"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Customer Feedba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Product Campaig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 Reco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livery Stat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" displayName="Customer_Feedback" name="Customer_Feedback" id="1">
  <tableColumns count="8">
    <tableColumn name="Timestamp" id="1"/>
    <tableColumn name="Customer Name" id="2"/>
    <tableColumn name="WhatsApp Number" id="3"/>
    <tableColumn name="Email" id="4"/>
    <tableColumn name=" Order ID " id="5"/>
    <tableColumn name="  Feedback Category " id="6"/>
    <tableColumn name="Feedback Message" id="7"/>
    <tableColumn name="Consent" id="8"/>
  </tableColumns>
  <tableStyleInfo name="Customer Feedback-style" showColumnStripes="0" showFirstColumn="1" showLastColumn="1" showRowStripes="1"/>
</table>
</file>

<file path=xl/tables/table2.xml><?xml version="1.0" encoding="utf-8"?>
<table xmlns="http://schemas.openxmlformats.org/spreadsheetml/2006/main" ref="A1:F2" displayName="New_Product_Camapign" name="New_Product_Camapign" id="2">
  <tableColumns count="6">
    <tableColumn name="Timestamp" id="1"/>
    <tableColumn name="Product ID" id="2"/>
    <tableColumn name="Product Name" id="3"/>
    <tableColumn name="Category" id="4"/>
    <tableColumn name="Price " id="5"/>
    <tableColumn name="Product Description" id="6"/>
  </tableColumns>
  <tableStyleInfo name="New Product Campaign-style" showColumnStripes="0" showFirstColumn="1" showLastColumn="1" showRowStripes="1"/>
</table>
</file>

<file path=xl/tables/table3.xml><?xml version="1.0" encoding="utf-8"?>
<table xmlns="http://schemas.openxmlformats.org/spreadsheetml/2006/main" ref="A1:D3" displayName="Expense_Record" name="Expense_Record" id="3">
  <tableColumns count="4">
    <tableColumn name="Timestamp" id="1"/>
    <tableColumn name="Expense Type" id="2"/>
    <tableColumn name="Description" id="3"/>
    <tableColumn name="Amount" id="4"/>
  </tableColumns>
  <tableStyleInfo name="Expense Record-style" showColumnStripes="0" showFirstColumn="1" showLastColumn="1" showRowStripes="1"/>
</table>
</file>

<file path=xl/tables/table4.xml><?xml version="1.0" encoding="utf-8"?>
<table xmlns="http://schemas.openxmlformats.org/spreadsheetml/2006/main" ref="A1:E2" displayName="Delivery_Status" name="Delivery_Status" id="4">
  <tableColumns count="5">
    <tableColumn name="Timestamp" id="1"/>
    <tableColumn name="Order ID" id="2"/>
    <tableColumn name="Delivery Status " id="3"/>
    <tableColumn name="Amount Paid  " id="4"/>
    <tableColumn name="Payment Method" id="5"/>
  </tableColumns>
  <tableStyleInfo name="Delivery Stat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51.75"/>
    <col customWidth="1" min="3" max="3" width="58.0"/>
  </cols>
  <sheetData>
    <row r="1" ht="35.25" customHeight="1">
      <c r="A1" s="1" t="s">
        <v>0</v>
      </c>
    </row>
    <row r="2" ht="24.75" customHeight="1">
      <c r="A2" s="2" t="s">
        <v>1</v>
      </c>
      <c r="B2" s="2" t="s">
        <v>2</v>
      </c>
      <c r="C2" s="2" t="s">
        <v>3</v>
      </c>
    </row>
    <row r="3" ht="27.75" customHeight="1">
      <c r="A3" s="3" t="s">
        <v>4</v>
      </c>
    </row>
    <row r="4">
      <c r="A4" s="4">
        <v>1.0</v>
      </c>
      <c r="B4" s="4" t="s">
        <v>5</v>
      </c>
      <c r="C4" s="4" t="s">
        <v>6</v>
      </c>
    </row>
    <row r="5">
      <c r="A5" s="4">
        <v>2.0</v>
      </c>
      <c r="B5" s="4" t="s">
        <v>7</v>
      </c>
      <c r="C5" s="4" t="s">
        <v>8</v>
      </c>
    </row>
    <row r="6">
      <c r="A6" s="4">
        <v>3.0</v>
      </c>
      <c r="B6" s="4" t="s">
        <v>9</v>
      </c>
      <c r="C6" s="4" t="s">
        <v>6</v>
      </c>
    </row>
    <row r="7">
      <c r="A7" s="4">
        <v>4.0</v>
      </c>
      <c r="B7" s="4" t="s">
        <v>10</v>
      </c>
      <c r="C7" s="4" t="s">
        <v>11</v>
      </c>
    </row>
    <row r="8">
      <c r="A8" s="4">
        <v>5.0</v>
      </c>
      <c r="B8" s="4" t="s">
        <v>12</v>
      </c>
      <c r="C8" s="4" t="s">
        <v>13</v>
      </c>
    </row>
    <row r="9">
      <c r="A9" s="4">
        <v>6.0</v>
      </c>
      <c r="B9" s="4" t="s">
        <v>14</v>
      </c>
      <c r="C9" s="4" t="s">
        <v>15</v>
      </c>
    </row>
    <row r="10">
      <c r="A10" s="4">
        <v>7.0</v>
      </c>
      <c r="B10" s="4" t="s">
        <v>16</v>
      </c>
      <c r="C10" s="4" t="s">
        <v>17</v>
      </c>
    </row>
    <row r="11" ht="30.0" customHeight="1">
      <c r="A11" s="3" t="s">
        <v>18</v>
      </c>
    </row>
    <row r="12">
      <c r="A12" s="4">
        <v>8.0</v>
      </c>
      <c r="B12" s="4" t="s">
        <v>19</v>
      </c>
      <c r="C12" s="4" t="s">
        <v>20</v>
      </c>
    </row>
    <row r="13">
      <c r="A13" s="4">
        <v>9.0</v>
      </c>
      <c r="B13" s="4" t="s">
        <v>21</v>
      </c>
      <c r="C13" s="4" t="s">
        <v>22</v>
      </c>
    </row>
    <row r="14">
      <c r="A14" s="4">
        <v>10.0</v>
      </c>
      <c r="B14" s="4" t="s">
        <v>23</v>
      </c>
      <c r="C14" s="4" t="s">
        <v>24</v>
      </c>
    </row>
    <row r="15">
      <c r="A15" s="4">
        <v>11.0</v>
      </c>
      <c r="B15" s="4" t="s">
        <v>25</v>
      </c>
      <c r="C15" s="4" t="s">
        <v>26</v>
      </c>
    </row>
    <row r="16">
      <c r="A16" s="4">
        <v>12.0</v>
      </c>
      <c r="B16" s="4" t="s">
        <v>27</v>
      </c>
      <c r="C16" s="4" t="s">
        <v>28</v>
      </c>
    </row>
    <row r="17">
      <c r="A17" s="4">
        <v>13.0</v>
      </c>
      <c r="B17" s="4" t="s">
        <v>29</v>
      </c>
      <c r="C17" s="4" t="s">
        <v>30</v>
      </c>
    </row>
    <row r="18" ht="25.5" customHeight="1">
      <c r="A18" s="5" t="s">
        <v>31</v>
      </c>
    </row>
    <row r="19">
      <c r="A19" s="4">
        <v>14.0</v>
      </c>
      <c r="B19" s="4" t="s">
        <v>32</v>
      </c>
      <c r="C19" s="4" t="s">
        <v>33</v>
      </c>
    </row>
    <row r="20">
      <c r="A20" s="4">
        <v>15.0</v>
      </c>
      <c r="B20" s="4" t="s">
        <v>34</v>
      </c>
      <c r="C20" s="4" t="s">
        <v>35</v>
      </c>
    </row>
    <row r="21">
      <c r="A21" s="4">
        <v>16.0</v>
      </c>
      <c r="B21" s="4" t="s">
        <v>36</v>
      </c>
      <c r="C21" s="4" t="s">
        <v>37</v>
      </c>
    </row>
    <row r="22">
      <c r="A22" s="4">
        <v>17.0</v>
      </c>
      <c r="B22" s="4" t="s">
        <v>38</v>
      </c>
      <c r="C22" s="4" t="s">
        <v>39</v>
      </c>
    </row>
    <row r="23" ht="6.0" customHeight="1"/>
    <row r="24">
      <c r="A24" s="6" t="s">
        <v>40</v>
      </c>
    </row>
    <row r="25" ht="24.75" customHeight="1"/>
  </sheetData>
  <mergeCells count="5">
    <mergeCell ref="A1:C1"/>
    <mergeCell ref="A3:C3"/>
    <mergeCell ref="A11:C11"/>
    <mergeCell ref="A18:C18"/>
    <mergeCell ref="A24:C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88"/>
    <col customWidth="1" min="4" max="5" width="18.88"/>
    <col customWidth="1" min="6" max="6" width="21.38"/>
    <col customWidth="1" min="7" max="7" width="20.25"/>
    <col customWidth="1" min="8" max="14" width="18.88"/>
  </cols>
  <sheetData>
    <row r="1" ht="22.5" customHeight="1">
      <c r="A1" s="7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</row>
    <row r="2" ht="22.5" customHeight="1">
      <c r="A2" s="9">
        <v>45989.716976400465</v>
      </c>
      <c r="B2" s="10" t="s">
        <v>49</v>
      </c>
      <c r="C2" s="10" t="s">
        <v>50</v>
      </c>
      <c r="D2" s="10" t="s">
        <v>51</v>
      </c>
      <c r="E2" s="10" t="s">
        <v>52</v>
      </c>
      <c r="F2" s="11" t="s">
        <v>53</v>
      </c>
      <c r="G2" s="11" t="s">
        <v>54</v>
      </c>
      <c r="H2" s="12" t="s">
        <v>44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0.63"/>
    <col customWidth="1" min="7" max="12" width="18.88"/>
  </cols>
  <sheetData>
    <row r="1" ht="22.5" customHeight="1">
      <c r="A1" s="7" t="s">
        <v>41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</row>
    <row r="2" ht="22.5" customHeight="1">
      <c r="A2" s="9">
        <v>45990.87006287037</v>
      </c>
      <c r="B2" s="10">
        <v>5.0</v>
      </c>
      <c r="C2" s="10" t="s">
        <v>60</v>
      </c>
      <c r="D2" s="10" t="s">
        <v>61</v>
      </c>
      <c r="E2" s="12">
        <v>100.0</v>
      </c>
      <c r="F2" s="12" t="s">
        <v>62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7" t="s">
        <v>41</v>
      </c>
      <c r="B1" s="7" t="s">
        <v>63</v>
      </c>
      <c r="C1" s="7" t="s">
        <v>64</v>
      </c>
      <c r="D1" s="7" t="s">
        <v>65</v>
      </c>
    </row>
    <row r="2" ht="22.5" customHeight="1">
      <c r="A2" s="13" t="s">
        <v>66</v>
      </c>
      <c r="B2" s="12" t="s">
        <v>67</v>
      </c>
      <c r="C2" s="12" t="s">
        <v>68</v>
      </c>
      <c r="D2" s="12">
        <v>1000.0</v>
      </c>
    </row>
    <row r="3" ht="22.5" customHeight="1">
      <c r="A3" s="13" t="s">
        <v>69</v>
      </c>
      <c r="B3" s="12" t="s">
        <v>67</v>
      </c>
      <c r="C3" s="12" t="s">
        <v>68</v>
      </c>
      <c r="D3" s="12">
        <v>1000.0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7" t="s">
        <v>41</v>
      </c>
      <c r="B1" s="7" t="s">
        <v>70</v>
      </c>
      <c r="C1" s="7" t="s">
        <v>71</v>
      </c>
      <c r="D1" s="7" t="s">
        <v>72</v>
      </c>
      <c r="E1" s="14" t="s">
        <v>73</v>
      </c>
    </row>
    <row r="2" ht="22.5" customHeight="1">
      <c r="A2" s="9">
        <v>45994.00306333334</v>
      </c>
      <c r="B2" s="11" t="s">
        <v>74</v>
      </c>
      <c r="C2" s="11" t="s">
        <v>75</v>
      </c>
      <c r="D2" s="15">
        <v>10000.0</v>
      </c>
      <c r="E2" s="16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21.5"/>
    <col customWidth="1" min="6" max="6" width="8.75"/>
    <col customWidth="1" min="7" max="7" width="17.75"/>
    <col customWidth="1" min="8" max="8" width="6.88"/>
    <col customWidth="1" min="9" max="9" width="8.25"/>
  </cols>
  <sheetData>
    <row r="1">
      <c r="A1" s="17" t="s">
        <v>76</v>
      </c>
      <c r="B1" s="17" t="s">
        <v>77</v>
      </c>
      <c r="C1" s="17" t="s">
        <v>78</v>
      </c>
      <c r="D1" s="17" t="s">
        <v>79</v>
      </c>
      <c r="E1" s="17" t="s">
        <v>80</v>
      </c>
      <c r="F1" s="17" t="s">
        <v>81</v>
      </c>
      <c r="G1" s="17" t="s">
        <v>82</v>
      </c>
      <c r="H1" s="18" t="s">
        <v>83</v>
      </c>
      <c r="I1" s="18" t="s">
        <v>84</v>
      </c>
    </row>
    <row r="2">
      <c r="A2" s="17" t="s">
        <v>85</v>
      </c>
      <c r="B2" s="17">
        <v>9.23434379809E11</v>
      </c>
      <c r="C2" s="17" t="s">
        <v>51</v>
      </c>
      <c r="D2" s="17" t="s">
        <v>86</v>
      </c>
      <c r="E2" s="17" t="s">
        <v>87</v>
      </c>
      <c r="F2" s="17">
        <v>1.0</v>
      </c>
      <c r="G2" s="17" t="s">
        <v>88</v>
      </c>
      <c r="H2" s="17" t="s">
        <v>89</v>
      </c>
      <c r="I2" s="17" t="s">
        <v>90</v>
      </c>
    </row>
    <row r="3">
      <c r="F3" s="17">
        <v>2.0</v>
      </c>
      <c r="G3" s="17" t="s">
        <v>88</v>
      </c>
      <c r="H3" s="17" t="s">
        <v>91</v>
      </c>
      <c r="I3" s="17" t="s">
        <v>90</v>
      </c>
    </row>
    <row r="4">
      <c r="F4" s="17">
        <v>3.0</v>
      </c>
      <c r="G4" s="17" t="s">
        <v>88</v>
      </c>
      <c r="H4" s="17" t="s">
        <v>92</v>
      </c>
      <c r="I4" s="17" t="s">
        <v>90</v>
      </c>
    </row>
    <row r="5">
      <c r="F5" s="17">
        <v>4.0</v>
      </c>
      <c r="G5" s="17" t="s">
        <v>88</v>
      </c>
      <c r="H5" s="17" t="s">
        <v>93</v>
      </c>
      <c r="I5" s="17" t="s">
        <v>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94</v>
      </c>
      <c r="B1" s="17" t="s">
        <v>81</v>
      </c>
      <c r="C1" s="17" t="s">
        <v>82</v>
      </c>
      <c r="D1" s="18" t="s">
        <v>83</v>
      </c>
      <c r="E1" s="18" t="s">
        <v>84</v>
      </c>
      <c r="F1" s="18" t="s">
        <v>95</v>
      </c>
    </row>
    <row r="2">
      <c r="A2" s="17" t="s">
        <v>96</v>
      </c>
      <c r="B2" s="17">
        <v>1.0</v>
      </c>
      <c r="C2" s="17" t="s">
        <v>88</v>
      </c>
      <c r="D2" s="17" t="s">
        <v>89</v>
      </c>
      <c r="E2" s="17" t="s">
        <v>90</v>
      </c>
      <c r="F2" s="17">
        <v>500.0</v>
      </c>
    </row>
    <row r="3">
      <c r="A3" s="17" t="s">
        <v>97</v>
      </c>
      <c r="B3" s="19">
        <v>1.0</v>
      </c>
      <c r="C3" s="17" t="s">
        <v>88</v>
      </c>
      <c r="D3" s="17" t="s">
        <v>89</v>
      </c>
      <c r="E3" s="17" t="s">
        <v>90</v>
      </c>
      <c r="F3" s="19">
        <v>500.0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7.25"/>
    <col customWidth="1" min="3" max="3" width="8.75"/>
    <col customWidth="1" min="4" max="4" width="17.75"/>
    <col customWidth="1" min="5" max="5" width="6.88"/>
    <col customWidth="1" min="6" max="6" width="8.0"/>
    <col customWidth="1" min="7" max="7" width="11.38"/>
    <col customWidth="1" min="9" max="9" width="12.0"/>
    <col customWidth="1" min="11" max="11" width="10.13"/>
  </cols>
  <sheetData>
    <row r="1">
      <c r="A1" s="17" t="s">
        <v>94</v>
      </c>
      <c r="B1" s="17" t="s">
        <v>98</v>
      </c>
      <c r="C1" s="17" t="s">
        <v>81</v>
      </c>
      <c r="D1" s="17" t="s">
        <v>82</v>
      </c>
      <c r="E1" s="18" t="s">
        <v>83</v>
      </c>
      <c r="F1" s="18" t="s">
        <v>84</v>
      </c>
      <c r="G1" s="18" t="s">
        <v>99</v>
      </c>
      <c r="H1" s="17" t="s">
        <v>100</v>
      </c>
      <c r="I1" s="17" t="s">
        <v>101</v>
      </c>
      <c r="J1" s="17" t="s">
        <v>102</v>
      </c>
      <c r="K1" s="17" t="s">
        <v>103</v>
      </c>
      <c r="L1" s="17" t="s">
        <v>104</v>
      </c>
    </row>
    <row r="2">
      <c r="A2" s="17" t="s">
        <v>105</v>
      </c>
      <c r="B2" s="18" t="s">
        <v>106</v>
      </c>
      <c r="C2" s="18">
        <v>1.0</v>
      </c>
      <c r="D2" s="17" t="s">
        <v>88</v>
      </c>
      <c r="E2" s="17" t="s">
        <v>89</v>
      </c>
      <c r="F2" s="18" t="s">
        <v>90</v>
      </c>
      <c r="G2" s="18">
        <v>1000.0</v>
      </c>
      <c r="H2" s="17">
        <v>50.0</v>
      </c>
      <c r="I2" s="20">
        <f t="shared" ref="I2:I6" si="1">H2*G2</f>
        <v>50000</v>
      </c>
      <c r="J2" s="17" t="s">
        <v>107</v>
      </c>
      <c r="K2" s="20">
        <f t="shared" ref="K2:K6" si="2">DATE(RIGHT(J2,4), MID(J2,4,2), LEFT(J2,2)) - TODAY()
</f>
        <v>348</v>
      </c>
      <c r="L2" s="17" t="s">
        <v>108</v>
      </c>
    </row>
    <row r="3">
      <c r="A3" s="17" t="s">
        <v>105</v>
      </c>
      <c r="B3" s="18" t="s">
        <v>109</v>
      </c>
      <c r="C3" s="18">
        <v>2.0</v>
      </c>
      <c r="D3" s="17" t="s">
        <v>88</v>
      </c>
      <c r="E3" s="17" t="s">
        <v>91</v>
      </c>
      <c r="F3" s="18" t="s">
        <v>90</v>
      </c>
      <c r="G3" s="18">
        <v>1000.0</v>
      </c>
      <c r="H3" s="17">
        <v>100.0</v>
      </c>
      <c r="I3" s="20">
        <f t="shared" si="1"/>
        <v>100000</v>
      </c>
      <c r="J3" s="17" t="s">
        <v>107</v>
      </c>
      <c r="K3" s="20">
        <f t="shared" si="2"/>
        <v>348</v>
      </c>
      <c r="L3" s="17" t="s">
        <v>108</v>
      </c>
    </row>
    <row r="4">
      <c r="A4" s="17" t="s">
        <v>105</v>
      </c>
      <c r="B4" s="18" t="s">
        <v>110</v>
      </c>
      <c r="C4" s="18">
        <v>3.0</v>
      </c>
      <c r="D4" s="17" t="s">
        <v>88</v>
      </c>
      <c r="E4" s="17" t="s">
        <v>92</v>
      </c>
      <c r="F4" s="18" t="s">
        <v>90</v>
      </c>
      <c r="G4" s="18">
        <v>1000.0</v>
      </c>
      <c r="H4" s="17">
        <v>200.0</v>
      </c>
      <c r="I4" s="20">
        <f t="shared" si="1"/>
        <v>200000</v>
      </c>
      <c r="J4" s="17" t="s">
        <v>107</v>
      </c>
      <c r="K4" s="20">
        <f t="shared" si="2"/>
        <v>348</v>
      </c>
      <c r="L4" s="17" t="s">
        <v>108</v>
      </c>
    </row>
    <row r="5">
      <c r="A5" s="17" t="s">
        <v>105</v>
      </c>
      <c r="B5" s="18" t="s">
        <v>111</v>
      </c>
      <c r="C5" s="18">
        <v>4.0</v>
      </c>
      <c r="D5" s="17" t="s">
        <v>88</v>
      </c>
      <c r="E5" s="17" t="s">
        <v>93</v>
      </c>
      <c r="F5" s="18" t="s">
        <v>90</v>
      </c>
      <c r="G5" s="18">
        <v>1000.0</v>
      </c>
      <c r="H5" s="17">
        <v>500.0</v>
      </c>
      <c r="I5" s="20">
        <f t="shared" si="1"/>
        <v>500000</v>
      </c>
      <c r="J5" s="17" t="s">
        <v>107</v>
      </c>
      <c r="K5" s="20">
        <f t="shared" si="2"/>
        <v>348</v>
      </c>
      <c r="L5" s="17" t="s">
        <v>108</v>
      </c>
    </row>
    <row r="6">
      <c r="A6" s="17" t="s">
        <v>66</v>
      </c>
      <c r="B6" s="17" t="s">
        <v>112</v>
      </c>
      <c r="C6" s="17">
        <v>1.0</v>
      </c>
      <c r="D6" s="17" t="s">
        <v>88</v>
      </c>
      <c r="E6" s="17" t="s">
        <v>89</v>
      </c>
      <c r="F6" s="17" t="s">
        <v>90</v>
      </c>
      <c r="G6" s="17">
        <v>500.0</v>
      </c>
      <c r="H6" s="17">
        <v>50.0</v>
      </c>
      <c r="I6" s="20">
        <f t="shared" si="1"/>
        <v>25000</v>
      </c>
      <c r="J6" s="17" t="s">
        <v>113</v>
      </c>
      <c r="K6" s="20">
        <f t="shared" si="2"/>
        <v>18</v>
      </c>
      <c r="L6" s="17" t="s">
        <v>114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9.5"/>
    <col customWidth="1" min="3" max="3" width="17.75"/>
    <col customWidth="1" min="4" max="4" width="6.88"/>
    <col customWidth="1" min="5" max="5" width="8.0"/>
    <col customWidth="1" min="6" max="6" width="11.38"/>
    <col customWidth="1" min="7" max="8" width="17.0"/>
    <col customWidth="1" min="9" max="9" width="8.88"/>
  </cols>
  <sheetData>
    <row r="1">
      <c r="A1" s="18" t="s">
        <v>115</v>
      </c>
      <c r="B1" s="18" t="s">
        <v>81</v>
      </c>
      <c r="C1" s="18" t="s">
        <v>82</v>
      </c>
      <c r="D1" s="18" t="s">
        <v>83</v>
      </c>
      <c r="E1" s="18" t="s">
        <v>84</v>
      </c>
      <c r="F1" s="18" t="s">
        <v>116</v>
      </c>
      <c r="G1" s="18" t="s">
        <v>117</v>
      </c>
      <c r="H1" s="18" t="s">
        <v>118</v>
      </c>
      <c r="I1" s="18" t="s">
        <v>101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8">
        <v>1.0</v>
      </c>
      <c r="B2" s="18">
        <v>1.0</v>
      </c>
      <c r="C2" s="17" t="s">
        <v>88</v>
      </c>
      <c r="D2" s="17" t="s">
        <v>89</v>
      </c>
      <c r="E2" s="18" t="s">
        <v>90</v>
      </c>
      <c r="F2" s="21">
        <f>SUMIF('Stock Received'!C:C, B2, 'Stock Received'!G:G)</f>
        <v>1500</v>
      </c>
      <c r="G2" s="18">
        <v>50.0</v>
      </c>
      <c r="H2" s="18">
        <v>100.0</v>
      </c>
      <c r="I2" s="21">
        <f t="shared" ref="I2:I5" si="1">F2*G2</f>
        <v>75000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8">
        <v>2.0</v>
      </c>
      <c r="B3" s="18">
        <v>2.0</v>
      </c>
      <c r="C3" s="17" t="s">
        <v>88</v>
      </c>
      <c r="D3" s="17" t="s">
        <v>91</v>
      </c>
      <c r="E3" s="18" t="s">
        <v>90</v>
      </c>
      <c r="F3" s="21">
        <f>SUMIF('Stock Received'!C:C, B3, 'Stock Received'!G:G)</f>
        <v>1000</v>
      </c>
      <c r="G3" s="18">
        <v>100.0</v>
      </c>
      <c r="H3" s="18">
        <v>200.0</v>
      </c>
      <c r="I3" s="21">
        <f t="shared" si="1"/>
        <v>100000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8">
        <v>3.0</v>
      </c>
      <c r="B4" s="18">
        <v>3.0</v>
      </c>
      <c r="C4" s="17" t="s">
        <v>88</v>
      </c>
      <c r="D4" s="17" t="s">
        <v>92</v>
      </c>
      <c r="E4" s="18" t="s">
        <v>90</v>
      </c>
      <c r="F4" s="21">
        <f>SUMIF('Stock Received'!C:C, B4, 'Stock Received'!G:G)</f>
        <v>1000</v>
      </c>
      <c r="G4" s="18">
        <v>200.0</v>
      </c>
      <c r="H4" s="18">
        <v>400.0</v>
      </c>
      <c r="I4" s="21">
        <f t="shared" si="1"/>
        <v>200000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8">
        <v>4.0</v>
      </c>
      <c r="B5" s="18">
        <v>4.0</v>
      </c>
      <c r="C5" s="17" t="s">
        <v>88</v>
      </c>
      <c r="D5" s="17" t="s">
        <v>93</v>
      </c>
      <c r="E5" s="18" t="s">
        <v>90</v>
      </c>
      <c r="F5" s="21">
        <f>SUMIF('Stock Received'!C:C, B5, 'Stock Received'!G:G)</f>
        <v>1000</v>
      </c>
      <c r="G5" s="18">
        <v>500.0</v>
      </c>
      <c r="H5" s="18">
        <v>1000.0</v>
      </c>
      <c r="I5" s="21">
        <f t="shared" si="1"/>
        <v>500000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18"/>
      <c r="D6" s="18"/>
      <c r="E6" s="18"/>
      <c r="F6" s="18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9.5"/>
    <col customWidth="1" min="3" max="3" width="17.75"/>
    <col customWidth="1" min="4" max="4" width="6.88"/>
    <col customWidth="1" min="5" max="5" width="8.0"/>
    <col customWidth="1" min="6" max="6" width="4.88"/>
  </cols>
  <sheetData>
    <row r="1">
      <c r="A1" s="18" t="s">
        <v>119</v>
      </c>
      <c r="B1" s="18" t="s">
        <v>81</v>
      </c>
      <c r="C1" s="18" t="s">
        <v>82</v>
      </c>
      <c r="D1" s="18" t="s">
        <v>83</v>
      </c>
      <c r="E1" s="18" t="s">
        <v>84</v>
      </c>
      <c r="F1" s="17" t="s">
        <v>120</v>
      </c>
      <c r="G1" s="17" t="s">
        <v>121</v>
      </c>
      <c r="H1" s="17" t="s">
        <v>122</v>
      </c>
    </row>
    <row r="2">
      <c r="A2" s="18">
        <v>1.0</v>
      </c>
      <c r="B2" s="18">
        <v>1.0</v>
      </c>
      <c r="C2" s="17" t="str">
        <f>VLOOKUP(B2, 'Purchase Register'!B:F, 2, FALSE)</f>
        <v>Nestle Water Pure Life</v>
      </c>
      <c r="D2" s="17" t="str">
        <f>VLOOKUP(B2, 'Purchase Register'!B:F, 3, FALSE)</f>
        <v>500 ml</v>
      </c>
      <c r="E2" s="17" t="str">
        <f>VLOOKUP(B2, 'Purchase Register'!B:H, 4, FALSE)</f>
        <v>water</v>
      </c>
      <c r="F2" s="20">
        <f>SUMIF('Customer Order'!B:B, B2, 'Customer Order'!F:F)</f>
        <v>100</v>
      </c>
      <c r="G2" s="20">
        <f>'Purchase Register'!H2</f>
        <v>100</v>
      </c>
      <c r="H2" s="20">
        <f t="shared" ref="H2:H5" si="1">G2*F2</f>
        <v>10000</v>
      </c>
    </row>
    <row r="3">
      <c r="A3" s="18">
        <v>2.0</v>
      </c>
      <c r="B3" s="18">
        <v>2.0</v>
      </c>
      <c r="C3" s="17" t="str">
        <f>VLOOKUP(B3, 'Purchase Register'!B:F, 2, FALSE)</f>
        <v>Nestle Water Pure Life</v>
      </c>
      <c r="D3" s="17" t="str">
        <f>VLOOKUP(B3, 'Purchase Register'!B:F, 3, FALSE)</f>
        <v>1500 ml</v>
      </c>
      <c r="E3" s="17" t="str">
        <f>VLOOKUP(B3, 'Purchase Register'!B:H, 4, FALSE)</f>
        <v>water</v>
      </c>
      <c r="F3" s="20">
        <f>SUMIF('Customer Order'!B:B, B3, 'Customer Order'!F:F)</f>
        <v>0</v>
      </c>
      <c r="G3" s="20">
        <f>'Purchase Register'!H3</f>
        <v>200</v>
      </c>
      <c r="H3" s="20">
        <f t="shared" si="1"/>
        <v>0</v>
      </c>
    </row>
    <row r="4">
      <c r="A4" s="18">
        <v>3.0</v>
      </c>
      <c r="B4" s="18">
        <v>3.0</v>
      </c>
      <c r="C4" s="17" t="str">
        <f>VLOOKUP(B4, 'Purchase Register'!B:F, 2, FALSE)</f>
        <v>Nestle Water Pure Life</v>
      </c>
      <c r="D4" s="17" t="str">
        <f>VLOOKUP(B4, 'Purchase Register'!B:F, 3, FALSE)</f>
        <v>5 Litre</v>
      </c>
      <c r="E4" s="17" t="str">
        <f>VLOOKUP(B4, 'Purchase Register'!B:H, 4, FALSE)</f>
        <v>water</v>
      </c>
      <c r="F4" s="20">
        <f>SUMIF('Customer Order'!B:B, B4, 'Customer Order'!F:F)</f>
        <v>0</v>
      </c>
      <c r="G4" s="20">
        <f>'Purchase Register'!H4</f>
        <v>400</v>
      </c>
      <c r="H4" s="20">
        <f t="shared" si="1"/>
        <v>0</v>
      </c>
    </row>
    <row r="5">
      <c r="A5" s="18">
        <v>4.0</v>
      </c>
      <c r="B5" s="18">
        <v>4.0</v>
      </c>
      <c r="C5" s="17" t="str">
        <f>VLOOKUP(B5, 'Purchase Register'!B:F, 2, FALSE)</f>
        <v>Nestle Water Pure Life</v>
      </c>
      <c r="D5" s="17" t="str">
        <f>VLOOKUP(B5, 'Purchase Register'!B:F, 3, FALSE)</f>
        <v>19 Litre</v>
      </c>
      <c r="E5" s="17" t="str">
        <f>VLOOKUP(B5, 'Purchase Register'!B:H, 4, FALSE)</f>
        <v>water</v>
      </c>
      <c r="F5" s="20">
        <f>SUMIF('Customer Order'!B:B, B5, 'Customer Order'!F:F)</f>
        <v>0</v>
      </c>
      <c r="G5" s="20">
        <f>'Purchase Register'!H5</f>
        <v>1000</v>
      </c>
      <c r="H5" s="20">
        <f t="shared" si="1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75"/>
    <col customWidth="1" min="3" max="3" width="6.88"/>
    <col customWidth="1" min="4" max="4" width="8.0"/>
    <col customWidth="1" min="5" max="5" width="12.5"/>
    <col customWidth="1" min="6" max="6" width="8.75"/>
    <col customWidth="1" min="7" max="7" width="11.25"/>
    <col customWidth="1" min="8" max="8" width="8.63"/>
    <col customWidth="1" min="9" max="9" width="8.5"/>
    <col customWidth="1" min="10" max="10" width="11.88"/>
    <col customWidth="1" min="11" max="11" width="8.13"/>
    <col customWidth="1" min="12" max="12" width="7.75"/>
    <col customWidth="1" min="14" max="14" width="13.38"/>
    <col customWidth="1" min="15" max="15" width="14.75"/>
    <col customWidth="1" min="16" max="16" width="16.88"/>
  </cols>
  <sheetData>
    <row r="1">
      <c r="A1" s="22" t="s">
        <v>81</v>
      </c>
      <c r="B1" s="22" t="s">
        <v>82</v>
      </c>
      <c r="C1" s="18" t="s">
        <v>83</v>
      </c>
      <c r="D1" s="18" t="s">
        <v>84</v>
      </c>
      <c r="E1" s="22" t="s">
        <v>123</v>
      </c>
      <c r="F1" s="22" t="s">
        <v>124</v>
      </c>
      <c r="G1" s="22" t="s">
        <v>125</v>
      </c>
      <c r="H1" s="22" t="s">
        <v>100</v>
      </c>
      <c r="I1" s="22" t="s">
        <v>121</v>
      </c>
      <c r="J1" s="17" t="s">
        <v>126</v>
      </c>
      <c r="K1" s="17" t="s">
        <v>122</v>
      </c>
      <c r="L1" s="17" t="s">
        <v>127</v>
      </c>
      <c r="M1" s="17" t="s">
        <v>128</v>
      </c>
      <c r="N1" s="17" t="s">
        <v>129</v>
      </c>
      <c r="O1" s="17" t="s">
        <v>130</v>
      </c>
      <c r="P1" s="17" t="s">
        <v>131</v>
      </c>
    </row>
    <row r="2">
      <c r="A2" s="17">
        <v>1.0</v>
      </c>
      <c r="B2" s="17" t="str">
        <f>VLOOKUP(A2, 'Purchase Register'!B:E, 2, FALSE)</f>
        <v>Nestle Water Pure Life</v>
      </c>
      <c r="C2" s="17" t="str">
        <f>VLOOKUP(A2, 'Purchase Register'!B:E, 3, FALSE)</f>
        <v>500 ml</v>
      </c>
      <c r="D2" s="17" t="str">
        <f>VLOOKUP(B2, 'Purchase Register'!C:F, 3, FALSE)</f>
        <v>water</v>
      </c>
      <c r="E2" s="17">
        <f>VLOOKUP(C2, 'Purchase Register'!D:G, 3, FALSE)</f>
        <v>1500</v>
      </c>
      <c r="F2" s="17">
        <f>VLOOKUP(A2, 'Sales Register'!A:G, 6, FALSE)</f>
        <v>100</v>
      </c>
      <c r="G2" s="20">
        <f t="shared" ref="G2:G5" si="2">E2-F2</f>
        <v>1400</v>
      </c>
      <c r="H2" s="17">
        <f>VLOOKUP(A2, 'Purchase Register'!B:I, 6, FALSE)</f>
        <v>50</v>
      </c>
      <c r="I2" s="17">
        <f>VLOOKUP(A2, 'Purchase Register'!B:I, 7, FALSE)</f>
        <v>100</v>
      </c>
      <c r="J2" s="20">
        <f t="shared" ref="J2:K2" si="1">E2*H2</f>
        <v>75000</v>
      </c>
      <c r="K2" s="20">
        <f t="shared" si="1"/>
        <v>10000</v>
      </c>
      <c r="L2" s="20" t="str">
        <f t="shared" ref="L2:L5" si="4">IF(G2=0,"Not Available",IF(G2&lt;=10,"Low Stock","Available"))</f>
        <v>Available</v>
      </c>
      <c r="M2" s="17">
        <v>500.0</v>
      </c>
      <c r="N2" s="20" t="str">
        <f t="shared" ref="N2:N5" si="5">IF(G2&lt;=M2,"Yes","No")</f>
        <v>No</v>
      </c>
      <c r="O2" s="19">
        <v>100.0</v>
      </c>
      <c r="P2" s="17">
        <v>0.0</v>
      </c>
    </row>
    <row r="3">
      <c r="A3" s="17">
        <v>2.0</v>
      </c>
      <c r="B3" s="17" t="str">
        <f>VLOOKUP(A3, 'Purchase Register'!B:E, 2, FALSE)</f>
        <v>Nestle Water Pure Life</v>
      </c>
      <c r="C3" s="17" t="str">
        <f>VLOOKUP(A3, 'Purchase Register'!B:E, 3, FALSE)</f>
        <v>1500 ml</v>
      </c>
      <c r="D3" s="17" t="str">
        <f>VLOOKUP(B3, 'Purchase Register'!C:F, 3, FALSE)</f>
        <v>water</v>
      </c>
      <c r="E3" s="17">
        <f>VLOOKUP(C3, 'Purchase Register'!D:G, 3, FALSE)</f>
        <v>1000</v>
      </c>
      <c r="F3" s="17">
        <f>VLOOKUP(A3, 'Sales Register'!A:G, 6, FALSE)</f>
        <v>0</v>
      </c>
      <c r="G3" s="20">
        <f t="shared" si="2"/>
        <v>1000</v>
      </c>
      <c r="H3" s="17">
        <f>VLOOKUP(A3, 'Purchase Register'!B:I, 6, FALSE)</f>
        <v>100</v>
      </c>
      <c r="I3" s="17">
        <f>VLOOKUP(A3, 'Purchase Register'!B:I, 7, FALSE)</f>
        <v>200</v>
      </c>
      <c r="J3" s="20">
        <f t="shared" ref="J3:K3" si="3">E3*H3</f>
        <v>100000</v>
      </c>
      <c r="K3" s="20">
        <f t="shared" si="3"/>
        <v>0</v>
      </c>
      <c r="L3" s="20" t="str">
        <f t="shared" si="4"/>
        <v>Available</v>
      </c>
      <c r="M3" s="17">
        <v>500.0</v>
      </c>
      <c r="N3" s="20" t="str">
        <f t="shared" si="5"/>
        <v>No</v>
      </c>
    </row>
    <row r="4">
      <c r="A4" s="17">
        <v>3.0</v>
      </c>
      <c r="B4" s="17" t="str">
        <f>VLOOKUP(A4, 'Purchase Register'!B:E, 2, FALSE)</f>
        <v>Nestle Water Pure Life</v>
      </c>
      <c r="C4" s="17" t="str">
        <f>VLOOKUP(A4, 'Purchase Register'!B:E, 3, FALSE)</f>
        <v>5 Litre</v>
      </c>
      <c r="D4" s="17" t="str">
        <f>VLOOKUP(B4, 'Purchase Register'!C:F, 3, FALSE)</f>
        <v>water</v>
      </c>
      <c r="E4" s="17">
        <f>VLOOKUP(C4, 'Purchase Register'!D:G, 3, FALSE)</f>
        <v>1000</v>
      </c>
      <c r="F4" s="17">
        <f>VLOOKUP(A4, 'Sales Register'!A:G, 6, FALSE)</f>
        <v>0</v>
      </c>
      <c r="G4" s="20">
        <f t="shared" si="2"/>
        <v>1000</v>
      </c>
      <c r="H4" s="17">
        <f>VLOOKUP(A4, 'Purchase Register'!B:I, 6, FALSE)</f>
        <v>200</v>
      </c>
      <c r="I4" s="17">
        <f>VLOOKUP(A4, 'Purchase Register'!B:I, 7, FALSE)</f>
        <v>400</v>
      </c>
      <c r="J4" s="20">
        <f t="shared" ref="J4:K4" si="6">E4*H4</f>
        <v>200000</v>
      </c>
      <c r="K4" s="20">
        <f t="shared" si="6"/>
        <v>0</v>
      </c>
      <c r="L4" s="20" t="str">
        <f t="shared" si="4"/>
        <v>Available</v>
      </c>
      <c r="M4" s="17">
        <v>500.0</v>
      </c>
      <c r="N4" s="20" t="str">
        <f t="shared" si="5"/>
        <v>No</v>
      </c>
    </row>
    <row r="5">
      <c r="A5" s="17">
        <v>4.0</v>
      </c>
      <c r="B5" s="17" t="str">
        <f>VLOOKUP(A5, 'Purchase Register'!B:E, 2, FALSE)</f>
        <v>Nestle Water Pure Life</v>
      </c>
      <c r="C5" s="17" t="str">
        <f>VLOOKUP(A5, 'Purchase Register'!B:E, 3, FALSE)</f>
        <v>19 Litre</v>
      </c>
      <c r="D5" s="17" t="str">
        <f>VLOOKUP(B5, 'Purchase Register'!C:F, 3, FALSE)</f>
        <v>water</v>
      </c>
      <c r="E5" s="17">
        <f>VLOOKUP(C5, 'Purchase Register'!D:G, 3, FALSE)</f>
        <v>1000</v>
      </c>
      <c r="F5" s="17">
        <f>VLOOKUP(A5, 'Sales Register'!A:G, 6, FALSE)</f>
        <v>0</v>
      </c>
      <c r="G5" s="20">
        <f t="shared" si="2"/>
        <v>1000</v>
      </c>
      <c r="H5" s="17">
        <f>VLOOKUP(A5, 'Purchase Register'!B:I, 6, FALSE)</f>
        <v>500</v>
      </c>
      <c r="I5" s="17">
        <f>VLOOKUP(A5, 'Purchase Register'!B:I, 7, FALSE)</f>
        <v>1000</v>
      </c>
      <c r="J5" s="20">
        <f t="shared" ref="J5:K5" si="7">E5*H5</f>
        <v>500000</v>
      </c>
      <c r="K5" s="20">
        <f t="shared" si="7"/>
        <v>0</v>
      </c>
      <c r="L5" s="20" t="str">
        <f t="shared" si="4"/>
        <v>Available</v>
      </c>
      <c r="M5" s="17">
        <v>500.0</v>
      </c>
      <c r="N5" s="20" t="str">
        <f t="shared" si="5"/>
        <v>No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3" max="3" width="17.75"/>
    <col customWidth="1" min="4" max="4" width="6.0"/>
    <col customWidth="1" min="5" max="5" width="8.0"/>
  </cols>
  <sheetData>
    <row r="1">
      <c r="A1" s="18" t="s">
        <v>94</v>
      </c>
      <c r="B1" s="18" t="s">
        <v>81</v>
      </c>
      <c r="C1" s="18" t="s">
        <v>82</v>
      </c>
      <c r="D1" s="18" t="s">
        <v>83</v>
      </c>
      <c r="E1" s="18" t="s">
        <v>84</v>
      </c>
      <c r="F1" s="17" t="s">
        <v>132</v>
      </c>
      <c r="G1" s="17" t="s">
        <v>133</v>
      </c>
      <c r="H1" s="17" t="s">
        <v>134</v>
      </c>
      <c r="I1" s="18" t="s">
        <v>135</v>
      </c>
      <c r="J1" s="18" t="s">
        <v>136</v>
      </c>
      <c r="K1" s="18" t="s">
        <v>137</v>
      </c>
      <c r="L1" s="17" t="s">
        <v>78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127</v>
      </c>
      <c r="R1" s="17" t="s">
        <v>142</v>
      </c>
    </row>
    <row r="2">
      <c r="A2" s="17" t="s">
        <v>105</v>
      </c>
      <c r="B2" s="17">
        <v>1.0</v>
      </c>
      <c r="C2" s="17" t="s">
        <v>88</v>
      </c>
      <c r="D2" s="17" t="s">
        <v>89</v>
      </c>
      <c r="E2" s="17" t="s">
        <v>90</v>
      </c>
      <c r="F2" s="17">
        <v>100.0</v>
      </c>
      <c r="G2" s="17">
        <v>100.0</v>
      </c>
      <c r="H2" s="17">
        <v>10000.0</v>
      </c>
      <c r="I2" s="17" t="s">
        <v>74</v>
      </c>
      <c r="J2" s="17" t="s">
        <v>143</v>
      </c>
      <c r="K2" s="17">
        <v>9.23434379809E11</v>
      </c>
      <c r="L2" s="17" t="s">
        <v>51</v>
      </c>
      <c r="M2" s="17" t="s">
        <v>144</v>
      </c>
      <c r="N2" s="17" t="s">
        <v>145</v>
      </c>
      <c r="O2" s="17" t="s">
        <v>146</v>
      </c>
      <c r="P2" s="17" t="s">
        <v>147</v>
      </c>
      <c r="Q2" s="17" t="s">
        <v>75</v>
      </c>
      <c r="R2" s="17" t="s">
        <v>148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0"/>
  </cols>
  <sheetData>
    <row r="1">
      <c r="A1" s="18" t="s">
        <v>135</v>
      </c>
      <c r="B1" s="23" t="s">
        <v>149</v>
      </c>
      <c r="C1" s="17" t="s">
        <v>150</v>
      </c>
      <c r="D1" s="17" t="s">
        <v>151</v>
      </c>
      <c r="E1" s="17" t="s">
        <v>136</v>
      </c>
      <c r="F1" s="17" t="s">
        <v>152</v>
      </c>
      <c r="G1" s="17" t="s">
        <v>153</v>
      </c>
      <c r="H1" s="17" t="s">
        <v>154</v>
      </c>
      <c r="I1" s="17" t="s">
        <v>155</v>
      </c>
      <c r="J1" s="17" t="s">
        <v>156</v>
      </c>
    </row>
    <row r="2">
      <c r="A2" s="17" t="s">
        <v>74</v>
      </c>
      <c r="B2" s="24">
        <v>45993.0</v>
      </c>
      <c r="C2" s="17" t="s">
        <v>157</v>
      </c>
      <c r="D2" s="17">
        <v>3.11111111E8</v>
      </c>
      <c r="E2" s="17" t="s">
        <v>143</v>
      </c>
      <c r="F2" s="19">
        <v>9.23434379809E11</v>
      </c>
      <c r="G2" s="17" t="s">
        <v>51</v>
      </c>
      <c r="H2" s="25">
        <v>45994.0</v>
      </c>
      <c r="I2" s="17" t="s">
        <v>75</v>
      </c>
      <c r="J2" s="17" t="s">
        <v>158</v>
      </c>
      <c r="M2" s="26"/>
    </row>
    <row r="3">
      <c r="B3" s="26"/>
      <c r="M3" s="26"/>
    </row>
    <row r="4">
      <c r="B4" s="26"/>
      <c r="M4" s="26"/>
    </row>
    <row r="5">
      <c r="B5" s="26"/>
      <c r="M5" s="26"/>
    </row>
    <row r="6">
      <c r="B6" s="26"/>
      <c r="M6" s="26"/>
    </row>
    <row r="7">
      <c r="B7" s="26"/>
      <c r="M7" s="26"/>
    </row>
    <row r="8">
      <c r="B8" s="26"/>
      <c r="M8" s="26"/>
    </row>
    <row r="9">
      <c r="B9" s="26"/>
      <c r="M9" s="26"/>
    </row>
    <row r="10">
      <c r="B10" s="26"/>
      <c r="M10" s="26"/>
    </row>
    <row r="11">
      <c r="B11" s="26"/>
      <c r="M11" s="26"/>
    </row>
    <row r="12">
      <c r="B12" s="26"/>
      <c r="M12" s="26"/>
    </row>
    <row r="13">
      <c r="B13" s="26"/>
      <c r="M13" s="26"/>
    </row>
    <row r="14">
      <c r="B14" s="26"/>
      <c r="M14" s="26"/>
    </row>
    <row r="15">
      <c r="B15" s="26"/>
      <c r="M15" s="26"/>
    </row>
    <row r="16">
      <c r="B16" s="26"/>
      <c r="M16" s="26"/>
    </row>
    <row r="17">
      <c r="B17" s="26"/>
      <c r="M17" s="26"/>
    </row>
    <row r="18">
      <c r="B18" s="26"/>
      <c r="M18" s="26"/>
    </row>
    <row r="19">
      <c r="B19" s="26"/>
      <c r="M19" s="26"/>
    </row>
    <row r="20">
      <c r="B20" s="26"/>
      <c r="M20" s="26"/>
    </row>
    <row r="21">
      <c r="B21" s="26"/>
      <c r="M21" s="26"/>
    </row>
    <row r="22">
      <c r="B22" s="26"/>
      <c r="M22" s="26"/>
    </row>
    <row r="23">
      <c r="B23" s="26"/>
      <c r="M23" s="26"/>
    </row>
    <row r="24">
      <c r="B24" s="26"/>
      <c r="M24" s="26"/>
    </row>
    <row r="25">
      <c r="B25" s="26"/>
      <c r="M25" s="26"/>
    </row>
    <row r="26">
      <c r="B26" s="26"/>
      <c r="M26" s="26"/>
    </row>
    <row r="27">
      <c r="B27" s="26"/>
      <c r="M27" s="26"/>
    </row>
    <row r="28">
      <c r="B28" s="26"/>
      <c r="M28" s="26"/>
    </row>
    <row r="29">
      <c r="B29" s="26"/>
      <c r="M29" s="26"/>
    </row>
    <row r="30">
      <c r="B30" s="26"/>
      <c r="M30" s="26"/>
    </row>
    <row r="31">
      <c r="B31" s="26"/>
      <c r="M31" s="26"/>
    </row>
    <row r="32">
      <c r="B32" s="26"/>
      <c r="M32" s="26"/>
    </row>
    <row r="33">
      <c r="B33" s="26"/>
      <c r="M33" s="26"/>
    </row>
    <row r="34">
      <c r="B34" s="26"/>
      <c r="M34" s="26"/>
    </row>
    <row r="35">
      <c r="B35" s="26"/>
      <c r="M35" s="26"/>
    </row>
    <row r="36">
      <c r="B36" s="26"/>
      <c r="M36" s="26"/>
    </row>
    <row r="37">
      <c r="B37" s="26"/>
      <c r="M37" s="26"/>
    </row>
    <row r="38">
      <c r="B38" s="26"/>
      <c r="M38" s="26"/>
    </row>
    <row r="39">
      <c r="B39" s="26"/>
      <c r="M39" s="26"/>
    </row>
    <row r="40">
      <c r="B40" s="26"/>
      <c r="M40" s="26"/>
    </row>
    <row r="41">
      <c r="B41" s="26"/>
      <c r="M41" s="26"/>
    </row>
    <row r="42">
      <c r="B42" s="26"/>
      <c r="M42" s="26"/>
    </row>
    <row r="43">
      <c r="B43" s="26"/>
      <c r="M43" s="26"/>
    </row>
    <row r="44">
      <c r="B44" s="26"/>
      <c r="M44" s="26"/>
    </row>
    <row r="45">
      <c r="B45" s="26"/>
      <c r="M45" s="26"/>
    </row>
    <row r="46">
      <c r="B46" s="26"/>
      <c r="M46" s="26"/>
    </row>
    <row r="47">
      <c r="B47" s="26"/>
      <c r="M47" s="26"/>
    </row>
    <row r="48">
      <c r="B48" s="26"/>
      <c r="M48" s="26"/>
    </row>
    <row r="49">
      <c r="B49" s="26"/>
      <c r="M49" s="26"/>
    </row>
    <row r="50">
      <c r="B50" s="26"/>
      <c r="M50" s="26"/>
    </row>
    <row r="51">
      <c r="B51" s="26"/>
      <c r="M51" s="26"/>
    </row>
    <row r="52">
      <c r="B52" s="26"/>
      <c r="M52" s="26"/>
    </row>
    <row r="53">
      <c r="B53" s="26"/>
      <c r="M53" s="26"/>
    </row>
    <row r="54">
      <c r="B54" s="26"/>
      <c r="M54" s="26"/>
    </row>
    <row r="55">
      <c r="B55" s="26"/>
      <c r="M55" s="26"/>
    </row>
    <row r="56">
      <c r="B56" s="26"/>
      <c r="M56" s="26"/>
    </row>
    <row r="57">
      <c r="B57" s="26"/>
      <c r="M57" s="26"/>
    </row>
    <row r="58">
      <c r="B58" s="26"/>
      <c r="M58" s="26"/>
    </row>
    <row r="59">
      <c r="B59" s="26"/>
      <c r="M59" s="26"/>
    </row>
    <row r="60">
      <c r="B60" s="26"/>
      <c r="M60" s="26"/>
    </row>
    <row r="61">
      <c r="B61" s="26"/>
      <c r="M61" s="26"/>
    </row>
    <row r="62">
      <c r="B62" s="26"/>
      <c r="M62" s="26"/>
    </row>
    <row r="63">
      <c r="B63" s="26"/>
      <c r="M63" s="26"/>
    </row>
    <row r="64">
      <c r="B64" s="26"/>
      <c r="M64" s="26"/>
    </row>
    <row r="65">
      <c r="B65" s="26"/>
      <c r="M65" s="26"/>
    </row>
    <row r="66">
      <c r="B66" s="26"/>
      <c r="M66" s="26"/>
    </row>
    <row r="67">
      <c r="B67" s="26"/>
      <c r="M67" s="26"/>
    </row>
    <row r="68">
      <c r="B68" s="26"/>
      <c r="M68" s="26"/>
    </row>
    <row r="69">
      <c r="B69" s="26"/>
      <c r="M69" s="26"/>
    </row>
    <row r="70">
      <c r="B70" s="26"/>
      <c r="M70" s="26"/>
    </row>
    <row r="71">
      <c r="B71" s="26"/>
      <c r="M71" s="26"/>
    </row>
    <row r="72">
      <c r="B72" s="26"/>
      <c r="M72" s="26"/>
    </row>
    <row r="73">
      <c r="B73" s="26"/>
      <c r="M73" s="26"/>
    </row>
    <row r="74">
      <c r="B74" s="26"/>
      <c r="M74" s="26"/>
    </row>
    <row r="75">
      <c r="B75" s="26"/>
      <c r="M75" s="26"/>
    </row>
    <row r="76">
      <c r="B76" s="26"/>
      <c r="M76" s="26"/>
    </row>
    <row r="77">
      <c r="B77" s="26"/>
      <c r="M77" s="26"/>
    </row>
    <row r="78">
      <c r="B78" s="26"/>
      <c r="M78" s="26"/>
    </row>
    <row r="79">
      <c r="B79" s="26"/>
      <c r="M79" s="26"/>
    </row>
    <row r="80">
      <c r="B80" s="26"/>
      <c r="M80" s="26"/>
    </row>
    <row r="81">
      <c r="B81" s="26"/>
      <c r="M81" s="26"/>
    </row>
    <row r="82">
      <c r="B82" s="26"/>
      <c r="M82" s="26"/>
    </row>
    <row r="83">
      <c r="B83" s="26"/>
      <c r="M83" s="26"/>
    </row>
    <row r="84">
      <c r="B84" s="26"/>
      <c r="M84" s="26"/>
    </row>
    <row r="85">
      <c r="B85" s="26"/>
      <c r="M85" s="26"/>
    </row>
    <row r="86">
      <c r="B86" s="26"/>
      <c r="M86" s="26"/>
    </row>
    <row r="87">
      <c r="B87" s="26"/>
      <c r="M87" s="26"/>
    </row>
    <row r="88">
      <c r="B88" s="26"/>
      <c r="M88" s="26"/>
    </row>
    <row r="89">
      <c r="B89" s="26"/>
      <c r="M89" s="26"/>
    </row>
    <row r="90">
      <c r="B90" s="26"/>
      <c r="M90" s="26"/>
    </row>
    <row r="91">
      <c r="B91" s="26"/>
      <c r="M91" s="26"/>
    </row>
    <row r="92">
      <c r="B92" s="26"/>
      <c r="M92" s="26"/>
    </row>
    <row r="93">
      <c r="B93" s="26"/>
      <c r="M93" s="26"/>
    </row>
    <row r="94">
      <c r="B94" s="26"/>
      <c r="M94" s="26"/>
    </row>
    <row r="95">
      <c r="B95" s="26"/>
      <c r="M95" s="26"/>
    </row>
    <row r="96">
      <c r="B96" s="26"/>
      <c r="M96" s="26"/>
    </row>
    <row r="97">
      <c r="B97" s="26"/>
      <c r="M97" s="26"/>
    </row>
    <row r="98">
      <c r="B98" s="26"/>
      <c r="M98" s="26"/>
    </row>
    <row r="99">
      <c r="B99" s="26"/>
      <c r="M99" s="26"/>
    </row>
    <row r="100">
      <c r="B100" s="26"/>
      <c r="M100" s="26"/>
    </row>
    <row r="101">
      <c r="B101" s="26"/>
      <c r="M101" s="26"/>
    </row>
    <row r="102">
      <c r="B102" s="26"/>
      <c r="M102" s="26"/>
    </row>
    <row r="103">
      <c r="B103" s="26"/>
      <c r="M103" s="26"/>
    </row>
    <row r="104">
      <c r="B104" s="26"/>
      <c r="M104" s="26"/>
    </row>
    <row r="105">
      <c r="B105" s="26"/>
      <c r="M105" s="26"/>
    </row>
    <row r="106">
      <c r="B106" s="26"/>
      <c r="M106" s="26"/>
    </row>
    <row r="107">
      <c r="B107" s="26"/>
      <c r="M107" s="26"/>
    </row>
    <row r="108">
      <c r="B108" s="26"/>
      <c r="M108" s="26"/>
    </row>
    <row r="109">
      <c r="B109" s="26"/>
      <c r="M109" s="26"/>
    </row>
    <row r="110">
      <c r="B110" s="26"/>
      <c r="M110" s="26"/>
    </row>
    <row r="111">
      <c r="B111" s="26"/>
      <c r="M111" s="26"/>
    </row>
    <row r="112">
      <c r="B112" s="26"/>
      <c r="M112" s="26"/>
    </row>
    <row r="113">
      <c r="B113" s="26"/>
      <c r="M113" s="26"/>
    </row>
    <row r="114">
      <c r="B114" s="26"/>
      <c r="M114" s="26"/>
    </row>
    <row r="115">
      <c r="B115" s="26"/>
      <c r="M115" s="26"/>
    </row>
    <row r="116">
      <c r="B116" s="26"/>
      <c r="M116" s="26"/>
    </row>
    <row r="117">
      <c r="B117" s="26"/>
      <c r="M117" s="26"/>
    </row>
    <row r="118">
      <c r="B118" s="26"/>
      <c r="M118" s="26"/>
    </row>
    <row r="119">
      <c r="B119" s="26"/>
      <c r="M119" s="26"/>
    </row>
    <row r="120">
      <c r="B120" s="26"/>
      <c r="M120" s="26"/>
    </row>
    <row r="121">
      <c r="B121" s="26"/>
      <c r="M121" s="26"/>
    </row>
    <row r="122">
      <c r="B122" s="26"/>
      <c r="M122" s="26"/>
    </row>
    <row r="123">
      <c r="B123" s="26"/>
      <c r="M123" s="26"/>
    </row>
    <row r="124">
      <c r="B124" s="26"/>
      <c r="M124" s="26"/>
    </row>
    <row r="125">
      <c r="B125" s="26"/>
      <c r="M125" s="26"/>
    </row>
    <row r="126">
      <c r="B126" s="26"/>
      <c r="M126" s="26"/>
    </row>
    <row r="127">
      <c r="B127" s="26"/>
      <c r="M127" s="26"/>
    </row>
    <row r="128">
      <c r="B128" s="26"/>
      <c r="M128" s="26"/>
    </row>
    <row r="129">
      <c r="B129" s="26"/>
      <c r="M129" s="26"/>
    </row>
    <row r="130">
      <c r="B130" s="26"/>
      <c r="M130" s="26"/>
    </row>
    <row r="131">
      <c r="B131" s="26"/>
      <c r="M131" s="26"/>
    </row>
    <row r="132">
      <c r="B132" s="26"/>
      <c r="M132" s="26"/>
    </row>
    <row r="133">
      <c r="B133" s="26"/>
      <c r="M133" s="26"/>
    </row>
    <row r="134">
      <c r="B134" s="26"/>
      <c r="M134" s="26"/>
    </row>
    <row r="135">
      <c r="B135" s="26"/>
      <c r="M135" s="26"/>
    </row>
    <row r="136">
      <c r="B136" s="26"/>
      <c r="M136" s="26"/>
    </row>
    <row r="137">
      <c r="B137" s="26"/>
      <c r="M137" s="26"/>
    </row>
    <row r="138">
      <c r="B138" s="26"/>
      <c r="M138" s="26"/>
    </row>
    <row r="139">
      <c r="B139" s="26"/>
      <c r="M139" s="26"/>
    </row>
    <row r="140">
      <c r="B140" s="26"/>
      <c r="M140" s="26"/>
    </row>
    <row r="141">
      <c r="B141" s="26"/>
      <c r="M141" s="26"/>
    </row>
    <row r="142">
      <c r="B142" s="26"/>
      <c r="M142" s="26"/>
    </row>
    <row r="143">
      <c r="B143" s="26"/>
      <c r="M143" s="26"/>
    </row>
    <row r="144">
      <c r="B144" s="26"/>
      <c r="M144" s="26"/>
    </row>
    <row r="145">
      <c r="B145" s="26"/>
      <c r="M145" s="26"/>
    </row>
    <row r="146">
      <c r="B146" s="26"/>
      <c r="M146" s="26"/>
    </row>
    <row r="147">
      <c r="B147" s="26"/>
      <c r="M147" s="26"/>
    </row>
    <row r="148">
      <c r="B148" s="26"/>
      <c r="M148" s="26"/>
    </row>
    <row r="149">
      <c r="B149" s="26"/>
      <c r="M149" s="26"/>
    </row>
    <row r="150">
      <c r="B150" s="26"/>
      <c r="M150" s="26"/>
    </row>
    <row r="151">
      <c r="B151" s="26"/>
      <c r="M151" s="26"/>
    </row>
    <row r="152">
      <c r="B152" s="26"/>
      <c r="M152" s="26"/>
    </row>
    <row r="153">
      <c r="B153" s="26"/>
      <c r="M153" s="26"/>
    </row>
    <row r="154">
      <c r="B154" s="26"/>
      <c r="M154" s="26"/>
    </row>
    <row r="155">
      <c r="B155" s="26"/>
      <c r="M155" s="26"/>
    </row>
    <row r="156">
      <c r="B156" s="26"/>
      <c r="M156" s="26"/>
    </row>
    <row r="157">
      <c r="B157" s="26"/>
      <c r="M157" s="26"/>
    </row>
    <row r="158">
      <c r="B158" s="26"/>
      <c r="M158" s="26"/>
    </row>
    <row r="159">
      <c r="B159" s="26"/>
      <c r="M159" s="26"/>
    </row>
    <row r="160">
      <c r="B160" s="26"/>
      <c r="M160" s="26"/>
    </row>
    <row r="161">
      <c r="B161" s="26"/>
      <c r="M161" s="26"/>
    </row>
    <row r="162">
      <c r="B162" s="26"/>
      <c r="M162" s="26"/>
    </row>
    <row r="163">
      <c r="B163" s="26"/>
      <c r="M163" s="26"/>
    </row>
    <row r="164">
      <c r="B164" s="26"/>
      <c r="M164" s="26"/>
    </row>
    <row r="165">
      <c r="B165" s="26"/>
      <c r="M165" s="26"/>
    </row>
    <row r="166">
      <c r="B166" s="26"/>
      <c r="M166" s="26"/>
    </row>
    <row r="167">
      <c r="B167" s="26"/>
      <c r="M167" s="26"/>
    </row>
    <row r="168">
      <c r="B168" s="26"/>
      <c r="M168" s="26"/>
    </row>
    <row r="169">
      <c r="B169" s="26"/>
      <c r="M169" s="26"/>
    </row>
    <row r="170">
      <c r="B170" s="26"/>
      <c r="M170" s="26"/>
    </row>
    <row r="171">
      <c r="B171" s="26"/>
      <c r="M171" s="26"/>
    </row>
    <row r="172">
      <c r="B172" s="26"/>
      <c r="M172" s="26"/>
    </row>
    <row r="173">
      <c r="B173" s="26"/>
      <c r="M173" s="26"/>
    </row>
    <row r="174">
      <c r="B174" s="26"/>
      <c r="M174" s="26"/>
    </row>
    <row r="175">
      <c r="B175" s="26"/>
      <c r="M175" s="26"/>
    </row>
    <row r="176">
      <c r="B176" s="26"/>
      <c r="M176" s="26"/>
    </row>
    <row r="177">
      <c r="B177" s="26"/>
      <c r="M177" s="26"/>
    </row>
    <row r="178">
      <c r="B178" s="26"/>
      <c r="M178" s="26"/>
    </row>
    <row r="179">
      <c r="B179" s="26"/>
      <c r="M179" s="26"/>
    </row>
    <row r="180">
      <c r="B180" s="26"/>
      <c r="M180" s="26"/>
    </row>
    <row r="181">
      <c r="B181" s="26"/>
      <c r="M181" s="26"/>
    </row>
    <row r="182">
      <c r="B182" s="26"/>
      <c r="M182" s="26"/>
    </row>
    <row r="183">
      <c r="B183" s="26"/>
      <c r="M183" s="26"/>
    </row>
    <row r="184">
      <c r="B184" s="26"/>
      <c r="M184" s="26"/>
    </row>
    <row r="185">
      <c r="B185" s="26"/>
      <c r="M185" s="26"/>
    </row>
    <row r="186">
      <c r="B186" s="26"/>
      <c r="M186" s="26"/>
    </row>
    <row r="187">
      <c r="B187" s="26"/>
      <c r="M187" s="26"/>
    </row>
    <row r="188">
      <c r="B188" s="26"/>
      <c r="M188" s="26"/>
    </row>
    <row r="189">
      <c r="B189" s="26"/>
      <c r="M189" s="26"/>
    </row>
    <row r="190">
      <c r="B190" s="26"/>
      <c r="M190" s="26"/>
    </row>
    <row r="191">
      <c r="B191" s="26"/>
      <c r="M191" s="26"/>
    </row>
    <row r="192">
      <c r="B192" s="26"/>
      <c r="M192" s="26"/>
    </row>
    <row r="193">
      <c r="B193" s="26"/>
      <c r="M193" s="26"/>
    </row>
    <row r="194">
      <c r="B194" s="26"/>
      <c r="M194" s="26"/>
    </row>
    <row r="195">
      <c r="B195" s="26"/>
      <c r="M195" s="26"/>
    </row>
    <row r="196">
      <c r="B196" s="26"/>
      <c r="M196" s="26"/>
    </row>
    <row r="197">
      <c r="B197" s="26"/>
      <c r="M197" s="26"/>
    </row>
    <row r="198">
      <c r="B198" s="26"/>
      <c r="M198" s="26"/>
    </row>
    <row r="199">
      <c r="B199" s="26"/>
      <c r="M199" s="26"/>
    </row>
    <row r="200">
      <c r="B200" s="26"/>
      <c r="M200" s="26"/>
    </row>
    <row r="201">
      <c r="B201" s="26"/>
      <c r="M201" s="26"/>
    </row>
    <row r="202">
      <c r="B202" s="26"/>
      <c r="M202" s="26"/>
    </row>
    <row r="203">
      <c r="B203" s="26"/>
      <c r="M203" s="26"/>
    </row>
    <row r="204">
      <c r="B204" s="26"/>
      <c r="M204" s="26"/>
    </row>
    <row r="205">
      <c r="B205" s="26"/>
      <c r="M205" s="26"/>
    </row>
    <row r="206">
      <c r="B206" s="26"/>
      <c r="M206" s="26"/>
    </row>
    <row r="207">
      <c r="B207" s="26"/>
      <c r="M207" s="26"/>
    </row>
    <row r="208">
      <c r="B208" s="26"/>
      <c r="M208" s="26"/>
    </row>
    <row r="209">
      <c r="B209" s="26"/>
      <c r="M209" s="26"/>
    </row>
    <row r="210">
      <c r="B210" s="26"/>
      <c r="M210" s="26"/>
    </row>
    <row r="211">
      <c r="B211" s="26"/>
      <c r="M211" s="26"/>
    </row>
    <row r="212">
      <c r="B212" s="26"/>
      <c r="M212" s="26"/>
    </row>
    <row r="213">
      <c r="B213" s="26"/>
      <c r="M213" s="26"/>
    </row>
    <row r="214">
      <c r="B214" s="26"/>
      <c r="M214" s="26"/>
    </row>
    <row r="215">
      <c r="B215" s="26"/>
      <c r="M215" s="26"/>
    </row>
    <row r="216">
      <c r="B216" s="26"/>
      <c r="M216" s="26"/>
    </row>
    <row r="217">
      <c r="B217" s="26"/>
      <c r="M217" s="26"/>
    </row>
    <row r="218">
      <c r="B218" s="26"/>
      <c r="M218" s="26"/>
    </row>
    <row r="219">
      <c r="B219" s="26"/>
      <c r="M219" s="26"/>
    </row>
    <row r="220">
      <c r="B220" s="26"/>
      <c r="M220" s="26"/>
    </row>
    <row r="221">
      <c r="B221" s="26"/>
      <c r="M221" s="26"/>
    </row>
    <row r="222">
      <c r="B222" s="26"/>
      <c r="M222" s="26"/>
    </row>
    <row r="223">
      <c r="B223" s="26"/>
      <c r="M223" s="26"/>
    </row>
    <row r="224">
      <c r="B224" s="26"/>
      <c r="M224" s="26"/>
    </row>
    <row r="225">
      <c r="B225" s="26"/>
      <c r="M225" s="26"/>
    </row>
    <row r="226">
      <c r="B226" s="26"/>
      <c r="M226" s="26"/>
    </row>
    <row r="227">
      <c r="B227" s="26"/>
      <c r="M227" s="26"/>
    </row>
    <row r="228">
      <c r="B228" s="26"/>
      <c r="M228" s="26"/>
    </row>
    <row r="229">
      <c r="B229" s="26"/>
      <c r="M229" s="26"/>
    </row>
    <row r="230">
      <c r="B230" s="26"/>
      <c r="M230" s="26"/>
    </row>
    <row r="231">
      <c r="B231" s="26"/>
      <c r="M231" s="26"/>
    </row>
    <row r="232">
      <c r="B232" s="26"/>
      <c r="M232" s="26"/>
    </row>
    <row r="233">
      <c r="B233" s="26"/>
      <c r="M233" s="26"/>
    </row>
    <row r="234">
      <c r="B234" s="26"/>
      <c r="M234" s="26"/>
    </row>
    <row r="235">
      <c r="B235" s="26"/>
      <c r="M235" s="26"/>
    </row>
    <row r="236">
      <c r="B236" s="26"/>
      <c r="M236" s="26"/>
    </row>
    <row r="237">
      <c r="B237" s="26"/>
      <c r="M237" s="26"/>
    </row>
    <row r="238">
      <c r="B238" s="26"/>
      <c r="M238" s="26"/>
    </row>
    <row r="239">
      <c r="B239" s="26"/>
      <c r="M239" s="26"/>
    </row>
    <row r="240">
      <c r="B240" s="26"/>
      <c r="M240" s="26"/>
    </row>
    <row r="241">
      <c r="B241" s="26"/>
      <c r="M241" s="26"/>
    </row>
    <row r="242">
      <c r="B242" s="26"/>
      <c r="M242" s="26"/>
    </row>
    <row r="243">
      <c r="B243" s="26"/>
      <c r="M243" s="26"/>
    </row>
    <row r="244">
      <c r="B244" s="26"/>
      <c r="M244" s="26"/>
    </row>
    <row r="245">
      <c r="B245" s="26"/>
      <c r="M245" s="26"/>
    </row>
    <row r="246">
      <c r="B246" s="26"/>
      <c r="M246" s="26"/>
    </row>
    <row r="247">
      <c r="B247" s="26"/>
      <c r="M247" s="26"/>
    </row>
    <row r="248">
      <c r="B248" s="26"/>
      <c r="M248" s="26"/>
    </row>
    <row r="249">
      <c r="B249" s="26"/>
      <c r="M249" s="26"/>
    </row>
    <row r="250">
      <c r="B250" s="26"/>
      <c r="M250" s="26"/>
    </row>
    <row r="251">
      <c r="B251" s="26"/>
      <c r="M251" s="26"/>
    </row>
    <row r="252">
      <c r="B252" s="26"/>
      <c r="M252" s="26"/>
    </row>
    <row r="253">
      <c r="B253" s="26"/>
      <c r="M253" s="26"/>
    </row>
    <row r="254">
      <c r="B254" s="26"/>
      <c r="M254" s="26"/>
    </row>
    <row r="255">
      <c r="B255" s="26"/>
      <c r="M255" s="26"/>
    </row>
    <row r="256">
      <c r="B256" s="26"/>
      <c r="M256" s="26"/>
    </row>
    <row r="257">
      <c r="B257" s="26"/>
      <c r="M257" s="26"/>
    </row>
    <row r="258">
      <c r="B258" s="26"/>
      <c r="M258" s="26"/>
    </row>
    <row r="259">
      <c r="B259" s="26"/>
      <c r="M259" s="26"/>
    </row>
    <row r="260">
      <c r="B260" s="26"/>
      <c r="M260" s="26"/>
    </row>
    <row r="261">
      <c r="B261" s="26"/>
      <c r="M261" s="26"/>
    </row>
    <row r="262">
      <c r="B262" s="26"/>
      <c r="M262" s="26"/>
    </row>
    <row r="263">
      <c r="B263" s="26"/>
      <c r="M263" s="26"/>
    </row>
    <row r="264">
      <c r="B264" s="26"/>
      <c r="M264" s="26"/>
    </row>
    <row r="265">
      <c r="B265" s="26"/>
      <c r="M265" s="26"/>
    </row>
    <row r="266">
      <c r="B266" s="26"/>
      <c r="M266" s="26"/>
    </row>
    <row r="267">
      <c r="B267" s="26"/>
      <c r="M267" s="26"/>
    </row>
    <row r="268">
      <c r="B268" s="26"/>
      <c r="M268" s="26"/>
    </row>
    <row r="269">
      <c r="B269" s="26"/>
      <c r="M269" s="26"/>
    </row>
    <row r="270">
      <c r="B270" s="26"/>
      <c r="M270" s="26"/>
    </row>
    <row r="271">
      <c r="B271" s="26"/>
      <c r="M271" s="26"/>
    </row>
    <row r="272">
      <c r="B272" s="26"/>
      <c r="M272" s="26"/>
    </row>
    <row r="273">
      <c r="B273" s="26"/>
      <c r="M273" s="26"/>
    </row>
    <row r="274">
      <c r="B274" s="26"/>
      <c r="M274" s="26"/>
    </row>
    <row r="275">
      <c r="B275" s="26"/>
      <c r="M275" s="26"/>
    </row>
    <row r="276">
      <c r="B276" s="26"/>
      <c r="M276" s="26"/>
    </row>
    <row r="277">
      <c r="B277" s="26"/>
      <c r="M277" s="26"/>
    </row>
    <row r="278">
      <c r="B278" s="26"/>
      <c r="M278" s="26"/>
    </row>
    <row r="279">
      <c r="B279" s="26"/>
      <c r="M279" s="26"/>
    </row>
    <row r="280">
      <c r="B280" s="26"/>
      <c r="M280" s="26"/>
    </row>
    <row r="281">
      <c r="B281" s="26"/>
      <c r="M281" s="26"/>
    </row>
    <row r="282">
      <c r="B282" s="26"/>
      <c r="M282" s="26"/>
    </row>
    <row r="283">
      <c r="B283" s="26"/>
      <c r="M283" s="26"/>
    </row>
    <row r="284">
      <c r="B284" s="26"/>
      <c r="M284" s="26"/>
    </row>
    <row r="285">
      <c r="B285" s="26"/>
      <c r="M285" s="26"/>
    </row>
    <row r="286">
      <c r="B286" s="26"/>
      <c r="M286" s="26"/>
    </row>
    <row r="287">
      <c r="B287" s="26"/>
      <c r="M287" s="26"/>
    </row>
    <row r="288">
      <c r="B288" s="26"/>
      <c r="M288" s="26"/>
    </row>
    <row r="289">
      <c r="B289" s="26"/>
      <c r="M289" s="26"/>
    </row>
    <row r="290">
      <c r="B290" s="26"/>
      <c r="M290" s="26"/>
    </row>
    <row r="291">
      <c r="B291" s="26"/>
      <c r="M291" s="26"/>
    </row>
    <row r="292">
      <c r="B292" s="26"/>
      <c r="M292" s="26"/>
    </row>
    <row r="293">
      <c r="B293" s="26"/>
      <c r="M293" s="26"/>
    </row>
    <row r="294">
      <c r="B294" s="26"/>
      <c r="M294" s="26"/>
    </row>
    <row r="295">
      <c r="B295" s="26"/>
      <c r="M295" s="26"/>
    </row>
    <row r="296">
      <c r="B296" s="26"/>
      <c r="M296" s="26"/>
    </row>
    <row r="297">
      <c r="B297" s="26"/>
      <c r="M297" s="26"/>
    </row>
    <row r="298">
      <c r="B298" s="26"/>
      <c r="M298" s="26"/>
    </row>
    <row r="299">
      <c r="B299" s="26"/>
      <c r="M299" s="26"/>
    </row>
    <row r="300">
      <c r="B300" s="26"/>
      <c r="M300" s="26"/>
    </row>
    <row r="301">
      <c r="B301" s="26"/>
      <c r="M301" s="26"/>
    </row>
    <row r="302">
      <c r="B302" s="26"/>
      <c r="M302" s="26"/>
    </row>
    <row r="303">
      <c r="B303" s="26"/>
      <c r="M303" s="26"/>
    </row>
    <row r="304">
      <c r="B304" s="26"/>
      <c r="M304" s="26"/>
    </row>
    <row r="305">
      <c r="B305" s="26"/>
      <c r="M305" s="26"/>
    </row>
    <row r="306">
      <c r="B306" s="26"/>
      <c r="M306" s="26"/>
    </row>
    <row r="307">
      <c r="B307" s="26"/>
      <c r="M307" s="26"/>
    </row>
    <row r="308">
      <c r="B308" s="26"/>
      <c r="M308" s="26"/>
    </row>
    <row r="309">
      <c r="B309" s="26"/>
      <c r="M309" s="26"/>
    </row>
    <row r="310">
      <c r="B310" s="26"/>
      <c r="M310" s="26"/>
    </row>
    <row r="311">
      <c r="B311" s="26"/>
      <c r="M311" s="26"/>
    </row>
    <row r="312">
      <c r="B312" s="26"/>
      <c r="M312" s="26"/>
    </row>
    <row r="313">
      <c r="B313" s="26"/>
      <c r="M313" s="26"/>
    </row>
    <row r="314">
      <c r="B314" s="26"/>
      <c r="M314" s="26"/>
    </row>
    <row r="315">
      <c r="B315" s="26"/>
      <c r="M315" s="26"/>
    </row>
    <row r="316">
      <c r="B316" s="26"/>
      <c r="M316" s="26"/>
    </row>
    <row r="317">
      <c r="B317" s="26"/>
      <c r="M317" s="26"/>
    </row>
    <row r="318">
      <c r="B318" s="26"/>
      <c r="M318" s="26"/>
    </row>
    <row r="319">
      <c r="B319" s="26"/>
      <c r="M319" s="26"/>
    </row>
    <row r="320">
      <c r="B320" s="26"/>
      <c r="M320" s="26"/>
    </row>
    <row r="321">
      <c r="B321" s="26"/>
      <c r="M321" s="26"/>
    </row>
    <row r="322">
      <c r="B322" s="26"/>
      <c r="M322" s="26"/>
    </row>
    <row r="323">
      <c r="B323" s="26"/>
      <c r="M323" s="26"/>
    </row>
    <row r="324">
      <c r="B324" s="26"/>
      <c r="M324" s="26"/>
    </row>
    <row r="325">
      <c r="B325" s="26"/>
      <c r="M325" s="26"/>
    </row>
    <row r="326">
      <c r="B326" s="26"/>
      <c r="M326" s="26"/>
    </row>
    <row r="327">
      <c r="B327" s="26"/>
      <c r="M327" s="26"/>
    </row>
    <row r="328">
      <c r="B328" s="26"/>
      <c r="M328" s="26"/>
    </row>
    <row r="329">
      <c r="B329" s="26"/>
      <c r="M329" s="26"/>
    </row>
    <row r="330">
      <c r="B330" s="26"/>
      <c r="M330" s="26"/>
    </row>
    <row r="331">
      <c r="B331" s="26"/>
      <c r="M331" s="26"/>
    </row>
    <row r="332">
      <c r="B332" s="26"/>
      <c r="M332" s="26"/>
    </row>
    <row r="333">
      <c r="B333" s="26"/>
      <c r="M333" s="26"/>
    </row>
    <row r="334">
      <c r="B334" s="26"/>
      <c r="M334" s="26"/>
    </row>
    <row r="335">
      <c r="B335" s="26"/>
      <c r="M335" s="26"/>
    </row>
    <row r="336">
      <c r="B336" s="26"/>
      <c r="M336" s="26"/>
    </row>
    <row r="337">
      <c r="B337" s="26"/>
      <c r="M337" s="26"/>
    </row>
    <row r="338">
      <c r="B338" s="26"/>
      <c r="M338" s="26"/>
    </row>
    <row r="339">
      <c r="B339" s="26"/>
      <c r="M339" s="26"/>
    </row>
    <row r="340">
      <c r="B340" s="26"/>
      <c r="M340" s="26"/>
    </row>
    <row r="341">
      <c r="B341" s="26"/>
      <c r="M341" s="26"/>
    </row>
    <row r="342">
      <c r="B342" s="26"/>
      <c r="M342" s="26"/>
    </row>
    <row r="343">
      <c r="B343" s="26"/>
      <c r="M343" s="26"/>
    </row>
    <row r="344">
      <c r="B344" s="26"/>
      <c r="M344" s="26"/>
    </row>
    <row r="345">
      <c r="B345" s="26"/>
      <c r="M345" s="26"/>
    </row>
    <row r="346">
      <c r="B346" s="26"/>
      <c r="M346" s="26"/>
    </row>
    <row r="347">
      <c r="B347" s="26"/>
      <c r="M347" s="26"/>
    </row>
    <row r="348">
      <c r="B348" s="26"/>
      <c r="M348" s="26"/>
    </row>
    <row r="349">
      <c r="B349" s="26"/>
      <c r="M349" s="26"/>
    </row>
    <row r="350">
      <c r="B350" s="26"/>
      <c r="M350" s="26"/>
    </row>
    <row r="351">
      <c r="B351" s="26"/>
      <c r="M351" s="26"/>
    </row>
    <row r="352">
      <c r="B352" s="26"/>
      <c r="M352" s="26"/>
    </row>
    <row r="353">
      <c r="B353" s="26"/>
      <c r="M353" s="26"/>
    </row>
    <row r="354">
      <c r="B354" s="26"/>
      <c r="M354" s="26"/>
    </row>
    <row r="355">
      <c r="B355" s="26"/>
      <c r="M355" s="26"/>
    </row>
    <row r="356">
      <c r="B356" s="26"/>
      <c r="M356" s="26"/>
    </row>
    <row r="357">
      <c r="B357" s="26"/>
      <c r="M357" s="26"/>
    </row>
    <row r="358">
      <c r="B358" s="26"/>
      <c r="M358" s="26"/>
    </row>
    <row r="359">
      <c r="B359" s="26"/>
      <c r="M359" s="26"/>
    </row>
    <row r="360">
      <c r="B360" s="26"/>
      <c r="M360" s="26"/>
    </row>
    <row r="361">
      <c r="B361" s="26"/>
      <c r="M361" s="26"/>
    </row>
    <row r="362">
      <c r="B362" s="26"/>
      <c r="M362" s="26"/>
    </row>
    <row r="363">
      <c r="B363" s="26"/>
      <c r="M363" s="26"/>
    </row>
    <row r="364">
      <c r="B364" s="26"/>
      <c r="M364" s="26"/>
    </row>
    <row r="365">
      <c r="B365" s="26"/>
      <c r="M365" s="26"/>
    </row>
    <row r="366">
      <c r="B366" s="26"/>
      <c r="M366" s="26"/>
    </row>
    <row r="367">
      <c r="B367" s="26"/>
      <c r="M367" s="26"/>
    </row>
    <row r="368">
      <c r="B368" s="26"/>
      <c r="M368" s="26"/>
    </row>
    <row r="369">
      <c r="B369" s="26"/>
      <c r="M369" s="26"/>
    </row>
    <row r="370">
      <c r="B370" s="26"/>
      <c r="M370" s="26"/>
    </row>
    <row r="371">
      <c r="B371" s="26"/>
      <c r="M371" s="26"/>
    </row>
    <row r="372">
      <c r="B372" s="26"/>
      <c r="M372" s="26"/>
    </row>
    <row r="373">
      <c r="B373" s="26"/>
      <c r="M373" s="26"/>
    </row>
    <row r="374">
      <c r="B374" s="26"/>
      <c r="M374" s="26"/>
    </row>
    <row r="375">
      <c r="B375" s="26"/>
      <c r="M375" s="26"/>
    </row>
    <row r="376">
      <c r="B376" s="26"/>
      <c r="M376" s="26"/>
    </row>
    <row r="377">
      <c r="B377" s="26"/>
      <c r="M377" s="26"/>
    </row>
    <row r="378">
      <c r="B378" s="26"/>
      <c r="M378" s="26"/>
    </row>
    <row r="379">
      <c r="B379" s="26"/>
      <c r="M379" s="26"/>
    </row>
    <row r="380">
      <c r="B380" s="26"/>
      <c r="M380" s="26"/>
    </row>
    <row r="381">
      <c r="B381" s="26"/>
      <c r="M381" s="26"/>
    </row>
    <row r="382">
      <c r="B382" s="26"/>
      <c r="M382" s="26"/>
    </row>
    <row r="383">
      <c r="B383" s="26"/>
      <c r="M383" s="26"/>
    </row>
    <row r="384">
      <c r="B384" s="26"/>
      <c r="M384" s="26"/>
    </row>
    <row r="385">
      <c r="B385" s="26"/>
      <c r="M385" s="26"/>
    </row>
    <row r="386">
      <c r="B386" s="26"/>
      <c r="M386" s="26"/>
    </row>
    <row r="387">
      <c r="B387" s="26"/>
      <c r="M387" s="26"/>
    </row>
    <row r="388">
      <c r="B388" s="26"/>
      <c r="M388" s="26"/>
    </row>
    <row r="389">
      <c r="B389" s="26"/>
      <c r="M389" s="26"/>
    </row>
    <row r="390">
      <c r="B390" s="26"/>
      <c r="M390" s="26"/>
    </row>
    <row r="391">
      <c r="B391" s="26"/>
      <c r="M391" s="26"/>
    </row>
    <row r="392">
      <c r="B392" s="26"/>
      <c r="M392" s="26"/>
    </row>
    <row r="393">
      <c r="B393" s="26"/>
      <c r="M393" s="26"/>
    </row>
    <row r="394">
      <c r="B394" s="26"/>
      <c r="M394" s="26"/>
    </row>
    <row r="395">
      <c r="B395" s="26"/>
      <c r="M395" s="26"/>
    </row>
    <row r="396">
      <c r="B396" s="26"/>
      <c r="M396" s="26"/>
    </row>
    <row r="397">
      <c r="B397" s="26"/>
      <c r="M397" s="26"/>
    </row>
    <row r="398">
      <c r="B398" s="26"/>
      <c r="M398" s="26"/>
    </row>
    <row r="399">
      <c r="B399" s="26"/>
      <c r="M399" s="26"/>
    </row>
    <row r="400">
      <c r="B400" s="26"/>
      <c r="M400" s="26"/>
    </row>
    <row r="401">
      <c r="B401" s="26"/>
      <c r="M401" s="26"/>
    </row>
    <row r="402">
      <c r="B402" s="26"/>
      <c r="M402" s="26"/>
    </row>
    <row r="403">
      <c r="B403" s="26"/>
      <c r="M403" s="26"/>
    </row>
    <row r="404">
      <c r="B404" s="26"/>
      <c r="M404" s="26"/>
    </row>
    <row r="405">
      <c r="B405" s="26"/>
      <c r="M405" s="26"/>
    </row>
    <row r="406">
      <c r="B406" s="26"/>
      <c r="M406" s="26"/>
    </row>
    <row r="407">
      <c r="B407" s="26"/>
      <c r="M407" s="26"/>
    </row>
    <row r="408">
      <c r="B408" s="26"/>
      <c r="M408" s="26"/>
    </row>
    <row r="409">
      <c r="B409" s="26"/>
      <c r="M409" s="26"/>
    </row>
    <row r="410">
      <c r="B410" s="26"/>
      <c r="M410" s="26"/>
    </row>
    <row r="411">
      <c r="B411" s="26"/>
      <c r="M411" s="26"/>
    </row>
    <row r="412">
      <c r="B412" s="26"/>
      <c r="M412" s="26"/>
    </row>
    <row r="413">
      <c r="B413" s="26"/>
      <c r="M413" s="26"/>
    </row>
    <row r="414">
      <c r="B414" s="26"/>
      <c r="M414" s="26"/>
    </row>
    <row r="415">
      <c r="B415" s="26"/>
      <c r="M415" s="26"/>
    </row>
    <row r="416">
      <c r="B416" s="26"/>
      <c r="M416" s="26"/>
    </row>
    <row r="417">
      <c r="B417" s="26"/>
      <c r="M417" s="26"/>
    </row>
    <row r="418">
      <c r="B418" s="26"/>
      <c r="M418" s="26"/>
    </row>
    <row r="419">
      <c r="B419" s="26"/>
      <c r="M419" s="26"/>
    </row>
    <row r="420">
      <c r="B420" s="26"/>
      <c r="M420" s="26"/>
    </row>
    <row r="421">
      <c r="B421" s="26"/>
      <c r="M421" s="26"/>
    </row>
    <row r="422">
      <c r="B422" s="26"/>
      <c r="M422" s="26"/>
    </row>
    <row r="423">
      <c r="B423" s="26"/>
      <c r="M423" s="26"/>
    </row>
    <row r="424">
      <c r="B424" s="26"/>
      <c r="M424" s="26"/>
    </row>
    <row r="425">
      <c r="B425" s="26"/>
      <c r="M425" s="26"/>
    </row>
    <row r="426">
      <c r="B426" s="26"/>
      <c r="M426" s="26"/>
    </row>
    <row r="427">
      <c r="B427" s="26"/>
      <c r="M427" s="26"/>
    </row>
    <row r="428">
      <c r="B428" s="26"/>
      <c r="M428" s="26"/>
    </row>
    <row r="429">
      <c r="B429" s="26"/>
      <c r="M429" s="26"/>
    </row>
    <row r="430">
      <c r="B430" s="26"/>
      <c r="M430" s="26"/>
    </row>
    <row r="431">
      <c r="B431" s="26"/>
      <c r="M431" s="26"/>
    </row>
    <row r="432">
      <c r="B432" s="26"/>
      <c r="M432" s="26"/>
    </row>
    <row r="433">
      <c r="B433" s="26"/>
      <c r="M433" s="26"/>
    </row>
    <row r="434">
      <c r="B434" s="26"/>
      <c r="M434" s="26"/>
    </row>
    <row r="435">
      <c r="B435" s="26"/>
      <c r="M435" s="26"/>
    </row>
    <row r="436">
      <c r="B436" s="26"/>
      <c r="M436" s="26"/>
    </row>
    <row r="437">
      <c r="B437" s="26"/>
      <c r="M437" s="26"/>
    </row>
    <row r="438">
      <c r="B438" s="26"/>
      <c r="M438" s="26"/>
    </row>
    <row r="439">
      <c r="B439" s="26"/>
      <c r="M439" s="26"/>
    </row>
    <row r="440">
      <c r="B440" s="26"/>
      <c r="M440" s="26"/>
    </row>
    <row r="441">
      <c r="B441" s="26"/>
      <c r="M441" s="26"/>
    </row>
    <row r="442">
      <c r="B442" s="26"/>
      <c r="M442" s="26"/>
    </row>
    <row r="443">
      <c r="B443" s="26"/>
      <c r="M443" s="26"/>
    </row>
    <row r="444">
      <c r="B444" s="26"/>
      <c r="M444" s="26"/>
    </row>
    <row r="445">
      <c r="B445" s="26"/>
      <c r="M445" s="26"/>
    </row>
    <row r="446">
      <c r="B446" s="26"/>
      <c r="M446" s="26"/>
    </row>
    <row r="447">
      <c r="B447" s="26"/>
      <c r="M447" s="26"/>
    </row>
    <row r="448">
      <c r="B448" s="26"/>
      <c r="M448" s="26"/>
    </row>
    <row r="449">
      <c r="B449" s="26"/>
      <c r="M449" s="26"/>
    </row>
    <row r="450">
      <c r="B450" s="26"/>
      <c r="M450" s="26"/>
    </row>
    <row r="451">
      <c r="B451" s="26"/>
      <c r="M451" s="26"/>
    </row>
    <row r="452">
      <c r="B452" s="26"/>
      <c r="M452" s="26"/>
    </row>
    <row r="453">
      <c r="B453" s="26"/>
      <c r="M453" s="26"/>
    </row>
    <row r="454">
      <c r="B454" s="26"/>
      <c r="M454" s="26"/>
    </row>
    <row r="455">
      <c r="B455" s="26"/>
      <c r="M455" s="26"/>
    </row>
    <row r="456">
      <c r="B456" s="26"/>
      <c r="M456" s="26"/>
    </row>
    <row r="457">
      <c r="B457" s="26"/>
      <c r="M457" s="26"/>
    </row>
    <row r="458">
      <c r="B458" s="26"/>
      <c r="M458" s="26"/>
    </row>
    <row r="459">
      <c r="B459" s="26"/>
      <c r="M459" s="26"/>
    </row>
    <row r="460">
      <c r="B460" s="26"/>
      <c r="M460" s="26"/>
    </row>
    <row r="461">
      <c r="B461" s="26"/>
      <c r="M461" s="26"/>
    </row>
    <row r="462">
      <c r="B462" s="26"/>
      <c r="M462" s="26"/>
    </row>
    <row r="463">
      <c r="B463" s="26"/>
      <c r="M463" s="26"/>
    </row>
    <row r="464">
      <c r="B464" s="26"/>
      <c r="M464" s="26"/>
    </row>
    <row r="465">
      <c r="B465" s="26"/>
      <c r="M465" s="26"/>
    </row>
    <row r="466">
      <c r="B466" s="26"/>
      <c r="M466" s="26"/>
    </row>
    <row r="467">
      <c r="B467" s="26"/>
      <c r="M467" s="26"/>
    </row>
    <row r="468">
      <c r="B468" s="26"/>
      <c r="M468" s="26"/>
    </row>
    <row r="469">
      <c r="B469" s="26"/>
      <c r="M469" s="26"/>
    </row>
    <row r="470">
      <c r="B470" s="26"/>
      <c r="M470" s="26"/>
    </row>
    <row r="471">
      <c r="B471" s="26"/>
      <c r="M471" s="26"/>
    </row>
    <row r="472">
      <c r="B472" s="26"/>
      <c r="M472" s="26"/>
    </row>
    <row r="473">
      <c r="B473" s="26"/>
      <c r="M473" s="26"/>
    </row>
    <row r="474">
      <c r="B474" s="26"/>
      <c r="M474" s="26"/>
    </row>
    <row r="475">
      <c r="B475" s="26"/>
      <c r="M475" s="26"/>
    </row>
    <row r="476">
      <c r="B476" s="26"/>
      <c r="M476" s="26"/>
    </row>
    <row r="477">
      <c r="B477" s="26"/>
      <c r="M477" s="26"/>
    </row>
    <row r="478">
      <c r="B478" s="26"/>
      <c r="M478" s="26"/>
    </row>
    <row r="479">
      <c r="B479" s="26"/>
      <c r="M479" s="26"/>
    </row>
    <row r="480">
      <c r="B480" s="26"/>
      <c r="M480" s="26"/>
    </row>
    <row r="481">
      <c r="B481" s="26"/>
      <c r="M481" s="26"/>
    </row>
    <row r="482">
      <c r="B482" s="26"/>
      <c r="M482" s="26"/>
    </row>
    <row r="483">
      <c r="B483" s="26"/>
      <c r="M483" s="26"/>
    </row>
    <row r="484">
      <c r="B484" s="26"/>
      <c r="M484" s="26"/>
    </row>
    <row r="485">
      <c r="B485" s="26"/>
      <c r="M485" s="26"/>
    </row>
    <row r="486">
      <c r="B486" s="26"/>
      <c r="M486" s="26"/>
    </row>
    <row r="487">
      <c r="B487" s="26"/>
      <c r="M487" s="26"/>
    </row>
    <row r="488">
      <c r="B488" s="26"/>
      <c r="M488" s="26"/>
    </row>
    <row r="489">
      <c r="B489" s="26"/>
      <c r="M489" s="26"/>
    </row>
    <row r="490">
      <c r="B490" s="26"/>
      <c r="M490" s="26"/>
    </row>
    <row r="491">
      <c r="B491" s="26"/>
      <c r="M491" s="26"/>
    </row>
    <row r="492">
      <c r="B492" s="26"/>
      <c r="M492" s="26"/>
    </row>
    <row r="493">
      <c r="B493" s="26"/>
      <c r="M493" s="26"/>
    </row>
    <row r="494">
      <c r="B494" s="26"/>
      <c r="M494" s="26"/>
    </row>
    <row r="495">
      <c r="B495" s="26"/>
      <c r="M495" s="26"/>
    </row>
    <row r="496">
      <c r="B496" s="26"/>
      <c r="M496" s="26"/>
    </row>
    <row r="497">
      <c r="B497" s="26"/>
      <c r="M497" s="26"/>
    </row>
    <row r="498">
      <c r="B498" s="26"/>
      <c r="M498" s="26"/>
    </row>
    <row r="499">
      <c r="B499" s="26"/>
      <c r="M499" s="26"/>
    </row>
    <row r="500">
      <c r="B500" s="26"/>
      <c r="M500" s="26"/>
    </row>
    <row r="501">
      <c r="B501" s="26"/>
      <c r="M501" s="26"/>
    </row>
    <row r="502">
      <c r="B502" s="26"/>
      <c r="M502" s="26"/>
    </row>
    <row r="503">
      <c r="B503" s="26"/>
      <c r="M503" s="26"/>
    </row>
    <row r="504">
      <c r="B504" s="26"/>
      <c r="M504" s="26"/>
    </row>
    <row r="505">
      <c r="B505" s="26"/>
      <c r="M505" s="26"/>
    </row>
    <row r="506">
      <c r="B506" s="26"/>
      <c r="M506" s="26"/>
    </row>
    <row r="507">
      <c r="B507" s="26"/>
      <c r="M507" s="26"/>
    </row>
    <row r="508">
      <c r="B508" s="26"/>
      <c r="M508" s="26"/>
    </row>
    <row r="509">
      <c r="B509" s="26"/>
      <c r="M509" s="26"/>
    </row>
    <row r="510">
      <c r="B510" s="26"/>
      <c r="M510" s="26"/>
    </row>
    <row r="511">
      <c r="B511" s="26"/>
      <c r="M511" s="26"/>
    </row>
    <row r="512">
      <c r="B512" s="26"/>
      <c r="M512" s="26"/>
    </row>
    <row r="513">
      <c r="B513" s="26"/>
      <c r="M513" s="26"/>
    </row>
    <row r="514">
      <c r="B514" s="26"/>
      <c r="M514" s="26"/>
    </row>
    <row r="515">
      <c r="B515" s="26"/>
      <c r="M515" s="26"/>
    </row>
    <row r="516">
      <c r="B516" s="26"/>
      <c r="M516" s="26"/>
    </row>
    <row r="517">
      <c r="B517" s="26"/>
      <c r="M517" s="26"/>
    </row>
    <row r="518">
      <c r="B518" s="26"/>
      <c r="M518" s="26"/>
    </row>
    <row r="519">
      <c r="B519" s="26"/>
      <c r="M519" s="26"/>
    </row>
    <row r="520">
      <c r="B520" s="26"/>
      <c r="M520" s="26"/>
    </row>
    <row r="521">
      <c r="B521" s="26"/>
      <c r="M521" s="26"/>
    </row>
    <row r="522">
      <c r="B522" s="26"/>
      <c r="M522" s="26"/>
    </row>
    <row r="523">
      <c r="B523" s="26"/>
      <c r="M523" s="26"/>
    </row>
    <row r="524">
      <c r="B524" s="26"/>
      <c r="M524" s="26"/>
    </row>
    <row r="525">
      <c r="B525" s="26"/>
      <c r="M525" s="26"/>
    </row>
    <row r="526">
      <c r="B526" s="26"/>
      <c r="M526" s="26"/>
    </row>
    <row r="527">
      <c r="B527" s="26"/>
      <c r="M527" s="26"/>
    </row>
    <row r="528">
      <c r="B528" s="26"/>
      <c r="M528" s="26"/>
    </row>
    <row r="529">
      <c r="B529" s="26"/>
      <c r="M529" s="26"/>
    </row>
    <row r="530">
      <c r="B530" s="26"/>
      <c r="M530" s="26"/>
    </row>
    <row r="531">
      <c r="B531" s="26"/>
      <c r="M531" s="26"/>
    </row>
    <row r="532">
      <c r="B532" s="26"/>
      <c r="M532" s="26"/>
    </row>
    <row r="533">
      <c r="B533" s="26"/>
      <c r="M533" s="26"/>
    </row>
    <row r="534">
      <c r="B534" s="26"/>
      <c r="M534" s="26"/>
    </row>
    <row r="535">
      <c r="B535" s="26"/>
      <c r="M535" s="26"/>
    </row>
    <row r="536">
      <c r="B536" s="26"/>
      <c r="M536" s="26"/>
    </row>
    <row r="537">
      <c r="B537" s="26"/>
      <c r="M537" s="26"/>
    </row>
    <row r="538">
      <c r="B538" s="26"/>
      <c r="M538" s="26"/>
    </row>
    <row r="539">
      <c r="B539" s="26"/>
      <c r="M539" s="26"/>
    </row>
    <row r="540">
      <c r="B540" s="26"/>
      <c r="M540" s="26"/>
    </row>
    <row r="541">
      <c r="B541" s="26"/>
      <c r="M541" s="26"/>
    </row>
    <row r="542">
      <c r="B542" s="26"/>
      <c r="M542" s="26"/>
    </row>
    <row r="543">
      <c r="B543" s="26"/>
      <c r="M543" s="26"/>
    </row>
    <row r="544">
      <c r="B544" s="26"/>
      <c r="M544" s="26"/>
    </row>
    <row r="545">
      <c r="B545" s="26"/>
      <c r="M545" s="26"/>
    </row>
    <row r="546">
      <c r="B546" s="26"/>
      <c r="M546" s="26"/>
    </row>
    <row r="547">
      <c r="B547" s="26"/>
      <c r="M547" s="26"/>
    </row>
    <row r="548">
      <c r="B548" s="26"/>
      <c r="M548" s="26"/>
    </row>
    <row r="549">
      <c r="B549" s="26"/>
      <c r="M549" s="26"/>
    </row>
    <row r="550">
      <c r="B550" s="26"/>
      <c r="M550" s="26"/>
    </row>
    <row r="551">
      <c r="B551" s="26"/>
      <c r="M551" s="26"/>
    </row>
    <row r="552">
      <c r="B552" s="26"/>
      <c r="M552" s="26"/>
    </row>
    <row r="553">
      <c r="B553" s="26"/>
      <c r="M553" s="26"/>
    </row>
    <row r="554">
      <c r="B554" s="26"/>
      <c r="M554" s="26"/>
    </row>
    <row r="555">
      <c r="B555" s="26"/>
      <c r="M555" s="26"/>
    </row>
    <row r="556">
      <c r="B556" s="26"/>
      <c r="M556" s="26"/>
    </row>
    <row r="557">
      <c r="B557" s="26"/>
      <c r="M557" s="26"/>
    </row>
    <row r="558">
      <c r="B558" s="26"/>
      <c r="M558" s="26"/>
    </row>
    <row r="559">
      <c r="B559" s="26"/>
      <c r="M559" s="26"/>
    </row>
    <row r="560">
      <c r="B560" s="26"/>
      <c r="M560" s="26"/>
    </row>
    <row r="561">
      <c r="B561" s="26"/>
      <c r="M561" s="26"/>
    </row>
    <row r="562">
      <c r="B562" s="26"/>
      <c r="M562" s="26"/>
    </row>
    <row r="563">
      <c r="B563" s="26"/>
      <c r="M563" s="26"/>
    </row>
    <row r="564">
      <c r="B564" s="26"/>
      <c r="M564" s="26"/>
    </row>
    <row r="565">
      <c r="B565" s="26"/>
      <c r="M565" s="26"/>
    </row>
    <row r="566">
      <c r="B566" s="26"/>
      <c r="M566" s="26"/>
    </row>
    <row r="567">
      <c r="B567" s="26"/>
      <c r="M567" s="26"/>
    </row>
    <row r="568">
      <c r="B568" s="26"/>
      <c r="M568" s="26"/>
    </row>
    <row r="569">
      <c r="B569" s="26"/>
      <c r="M569" s="26"/>
    </row>
    <row r="570">
      <c r="B570" s="26"/>
      <c r="M570" s="26"/>
    </row>
    <row r="571">
      <c r="B571" s="26"/>
      <c r="M571" s="26"/>
    </row>
    <row r="572">
      <c r="B572" s="26"/>
      <c r="M572" s="26"/>
    </row>
    <row r="573">
      <c r="B573" s="26"/>
      <c r="M573" s="26"/>
    </row>
    <row r="574">
      <c r="B574" s="26"/>
      <c r="M574" s="26"/>
    </row>
    <row r="575">
      <c r="B575" s="26"/>
      <c r="M575" s="26"/>
    </row>
    <row r="576">
      <c r="B576" s="26"/>
      <c r="M576" s="26"/>
    </row>
    <row r="577">
      <c r="B577" s="26"/>
      <c r="M577" s="26"/>
    </row>
    <row r="578">
      <c r="B578" s="26"/>
      <c r="M578" s="26"/>
    </row>
    <row r="579">
      <c r="B579" s="26"/>
      <c r="M579" s="26"/>
    </row>
    <row r="580">
      <c r="B580" s="26"/>
      <c r="M580" s="26"/>
    </row>
    <row r="581">
      <c r="B581" s="26"/>
      <c r="M581" s="26"/>
    </row>
    <row r="582">
      <c r="B582" s="26"/>
      <c r="M582" s="26"/>
    </row>
    <row r="583">
      <c r="B583" s="26"/>
      <c r="M583" s="26"/>
    </row>
    <row r="584">
      <c r="B584" s="26"/>
      <c r="M584" s="26"/>
    </row>
    <row r="585">
      <c r="B585" s="26"/>
      <c r="M585" s="26"/>
    </row>
    <row r="586">
      <c r="B586" s="26"/>
      <c r="M586" s="26"/>
    </row>
    <row r="587">
      <c r="B587" s="26"/>
      <c r="M587" s="26"/>
    </row>
    <row r="588">
      <c r="B588" s="26"/>
      <c r="M588" s="26"/>
    </row>
    <row r="589">
      <c r="B589" s="26"/>
      <c r="M589" s="26"/>
    </row>
    <row r="590">
      <c r="B590" s="26"/>
      <c r="M590" s="26"/>
    </row>
    <row r="591">
      <c r="B591" s="26"/>
      <c r="M591" s="26"/>
    </row>
    <row r="592">
      <c r="B592" s="26"/>
      <c r="M592" s="26"/>
    </row>
    <row r="593">
      <c r="B593" s="26"/>
      <c r="M593" s="26"/>
    </row>
    <row r="594">
      <c r="B594" s="26"/>
      <c r="M594" s="26"/>
    </row>
    <row r="595">
      <c r="B595" s="26"/>
      <c r="M595" s="26"/>
    </row>
    <row r="596">
      <c r="B596" s="26"/>
      <c r="M596" s="26"/>
    </row>
    <row r="597">
      <c r="B597" s="26"/>
      <c r="M597" s="26"/>
    </row>
    <row r="598">
      <c r="B598" s="26"/>
      <c r="M598" s="26"/>
    </row>
    <row r="599">
      <c r="B599" s="26"/>
      <c r="M599" s="26"/>
    </row>
    <row r="600">
      <c r="B600" s="26"/>
      <c r="M600" s="26"/>
    </row>
    <row r="601">
      <c r="B601" s="26"/>
      <c r="M601" s="26"/>
    </row>
    <row r="602">
      <c r="B602" s="26"/>
      <c r="M602" s="26"/>
    </row>
    <row r="603">
      <c r="B603" s="26"/>
      <c r="M603" s="26"/>
    </row>
    <row r="604">
      <c r="B604" s="26"/>
      <c r="M604" s="26"/>
    </row>
    <row r="605">
      <c r="B605" s="26"/>
      <c r="M605" s="26"/>
    </row>
    <row r="606">
      <c r="B606" s="26"/>
      <c r="M606" s="26"/>
    </row>
    <row r="607">
      <c r="B607" s="26"/>
      <c r="M607" s="26"/>
    </row>
    <row r="608">
      <c r="B608" s="26"/>
      <c r="M608" s="26"/>
    </row>
    <row r="609">
      <c r="B609" s="26"/>
      <c r="M609" s="26"/>
    </row>
    <row r="610">
      <c r="B610" s="26"/>
      <c r="M610" s="26"/>
    </row>
    <row r="611">
      <c r="B611" s="26"/>
      <c r="M611" s="26"/>
    </row>
    <row r="612">
      <c r="B612" s="26"/>
      <c r="M612" s="26"/>
    </row>
    <row r="613">
      <c r="B613" s="26"/>
      <c r="M613" s="26"/>
    </row>
    <row r="614">
      <c r="B614" s="26"/>
      <c r="M614" s="26"/>
    </row>
    <row r="615">
      <c r="B615" s="26"/>
      <c r="M615" s="26"/>
    </row>
    <row r="616">
      <c r="B616" s="26"/>
      <c r="M616" s="26"/>
    </row>
    <row r="617">
      <c r="B617" s="26"/>
      <c r="M617" s="26"/>
    </row>
    <row r="618">
      <c r="B618" s="26"/>
      <c r="M618" s="26"/>
    </row>
    <row r="619">
      <c r="B619" s="26"/>
      <c r="M619" s="26"/>
    </row>
    <row r="620">
      <c r="B620" s="26"/>
      <c r="M620" s="26"/>
    </row>
    <row r="621">
      <c r="B621" s="26"/>
      <c r="M621" s="26"/>
    </row>
    <row r="622">
      <c r="B622" s="26"/>
      <c r="M622" s="26"/>
    </row>
    <row r="623">
      <c r="B623" s="26"/>
      <c r="M623" s="26"/>
    </row>
    <row r="624">
      <c r="B624" s="26"/>
      <c r="M624" s="26"/>
    </row>
    <row r="625">
      <c r="B625" s="26"/>
      <c r="M625" s="26"/>
    </row>
    <row r="626">
      <c r="B626" s="26"/>
      <c r="M626" s="26"/>
    </row>
    <row r="627">
      <c r="B627" s="26"/>
      <c r="M627" s="26"/>
    </row>
    <row r="628">
      <c r="B628" s="26"/>
      <c r="M628" s="26"/>
    </row>
    <row r="629">
      <c r="B629" s="26"/>
      <c r="M629" s="26"/>
    </row>
    <row r="630">
      <c r="B630" s="26"/>
      <c r="M630" s="26"/>
    </row>
    <row r="631">
      <c r="B631" s="26"/>
      <c r="M631" s="26"/>
    </row>
    <row r="632">
      <c r="B632" s="26"/>
      <c r="M632" s="26"/>
    </row>
    <row r="633">
      <c r="B633" s="26"/>
      <c r="M633" s="26"/>
    </row>
    <row r="634">
      <c r="B634" s="26"/>
      <c r="M634" s="26"/>
    </row>
    <row r="635">
      <c r="B635" s="26"/>
      <c r="M635" s="26"/>
    </row>
    <row r="636">
      <c r="B636" s="26"/>
      <c r="M636" s="26"/>
    </row>
    <row r="637">
      <c r="B637" s="26"/>
      <c r="M637" s="26"/>
    </row>
    <row r="638">
      <c r="B638" s="26"/>
      <c r="M638" s="26"/>
    </row>
    <row r="639">
      <c r="B639" s="26"/>
      <c r="M639" s="26"/>
    </row>
    <row r="640">
      <c r="B640" s="26"/>
      <c r="M640" s="26"/>
    </row>
    <row r="641">
      <c r="B641" s="26"/>
      <c r="M641" s="26"/>
    </row>
    <row r="642">
      <c r="B642" s="26"/>
      <c r="M642" s="26"/>
    </row>
    <row r="643">
      <c r="B643" s="26"/>
      <c r="M643" s="26"/>
    </row>
    <row r="644">
      <c r="B644" s="26"/>
      <c r="M644" s="26"/>
    </row>
    <row r="645">
      <c r="B645" s="26"/>
      <c r="M645" s="26"/>
    </row>
    <row r="646">
      <c r="B646" s="26"/>
      <c r="M646" s="26"/>
    </row>
    <row r="647">
      <c r="B647" s="26"/>
      <c r="M647" s="26"/>
    </row>
    <row r="648">
      <c r="B648" s="26"/>
      <c r="M648" s="26"/>
    </row>
    <row r="649">
      <c r="B649" s="26"/>
      <c r="M649" s="26"/>
    </row>
    <row r="650">
      <c r="B650" s="26"/>
      <c r="M650" s="26"/>
    </row>
    <row r="651">
      <c r="B651" s="26"/>
      <c r="M651" s="26"/>
    </row>
    <row r="652">
      <c r="B652" s="26"/>
      <c r="M652" s="26"/>
    </row>
    <row r="653">
      <c r="B653" s="26"/>
      <c r="M653" s="26"/>
    </row>
    <row r="654">
      <c r="B654" s="26"/>
      <c r="M654" s="26"/>
    </row>
    <row r="655">
      <c r="B655" s="26"/>
      <c r="M655" s="26"/>
    </row>
    <row r="656">
      <c r="B656" s="26"/>
      <c r="M656" s="26"/>
    </row>
    <row r="657">
      <c r="B657" s="26"/>
      <c r="M657" s="26"/>
    </row>
    <row r="658">
      <c r="B658" s="26"/>
      <c r="M658" s="26"/>
    </row>
    <row r="659">
      <c r="B659" s="26"/>
      <c r="M659" s="26"/>
    </row>
    <row r="660">
      <c r="B660" s="26"/>
      <c r="M660" s="26"/>
    </row>
    <row r="661">
      <c r="B661" s="26"/>
      <c r="M661" s="26"/>
    </row>
    <row r="662">
      <c r="B662" s="26"/>
      <c r="M662" s="26"/>
    </row>
    <row r="663">
      <c r="B663" s="26"/>
      <c r="M663" s="26"/>
    </row>
    <row r="664">
      <c r="B664" s="26"/>
      <c r="M664" s="26"/>
    </row>
    <row r="665">
      <c r="B665" s="26"/>
      <c r="M665" s="26"/>
    </row>
    <row r="666">
      <c r="B666" s="26"/>
      <c r="M666" s="26"/>
    </row>
    <row r="667">
      <c r="B667" s="26"/>
      <c r="M667" s="26"/>
    </row>
    <row r="668">
      <c r="B668" s="26"/>
      <c r="M668" s="26"/>
    </row>
    <row r="669">
      <c r="B669" s="26"/>
      <c r="M669" s="26"/>
    </row>
    <row r="670">
      <c r="B670" s="26"/>
      <c r="M670" s="26"/>
    </row>
    <row r="671">
      <c r="B671" s="26"/>
      <c r="M671" s="26"/>
    </row>
    <row r="672">
      <c r="B672" s="26"/>
      <c r="M672" s="26"/>
    </row>
    <row r="673">
      <c r="B673" s="26"/>
      <c r="M673" s="26"/>
    </row>
    <row r="674">
      <c r="B674" s="26"/>
      <c r="M674" s="26"/>
    </row>
    <row r="675">
      <c r="B675" s="26"/>
      <c r="M675" s="26"/>
    </row>
    <row r="676">
      <c r="B676" s="26"/>
      <c r="M676" s="26"/>
    </row>
    <row r="677">
      <c r="B677" s="26"/>
      <c r="M677" s="26"/>
    </row>
    <row r="678">
      <c r="B678" s="26"/>
      <c r="M678" s="26"/>
    </row>
    <row r="679">
      <c r="B679" s="26"/>
      <c r="M679" s="26"/>
    </row>
    <row r="680">
      <c r="B680" s="26"/>
      <c r="M680" s="26"/>
    </row>
    <row r="681">
      <c r="B681" s="26"/>
      <c r="M681" s="26"/>
    </row>
    <row r="682">
      <c r="B682" s="26"/>
      <c r="M682" s="26"/>
    </row>
    <row r="683">
      <c r="B683" s="26"/>
      <c r="M683" s="26"/>
    </row>
    <row r="684">
      <c r="B684" s="26"/>
      <c r="M684" s="26"/>
    </row>
    <row r="685">
      <c r="B685" s="26"/>
      <c r="M685" s="26"/>
    </row>
    <row r="686">
      <c r="B686" s="26"/>
      <c r="M686" s="26"/>
    </row>
    <row r="687">
      <c r="B687" s="26"/>
      <c r="M687" s="26"/>
    </row>
    <row r="688">
      <c r="B688" s="26"/>
      <c r="M688" s="26"/>
    </row>
    <row r="689">
      <c r="B689" s="26"/>
      <c r="M689" s="26"/>
    </row>
    <row r="690">
      <c r="B690" s="26"/>
      <c r="M690" s="26"/>
    </row>
    <row r="691">
      <c r="B691" s="26"/>
      <c r="M691" s="26"/>
    </row>
    <row r="692">
      <c r="B692" s="26"/>
      <c r="M692" s="26"/>
    </row>
    <row r="693">
      <c r="B693" s="26"/>
      <c r="M693" s="26"/>
    </row>
    <row r="694">
      <c r="B694" s="26"/>
      <c r="M694" s="26"/>
    </row>
    <row r="695">
      <c r="B695" s="26"/>
      <c r="M695" s="26"/>
    </row>
    <row r="696">
      <c r="B696" s="26"/>
      <c r="M696" s="26"/>
    </row>
    <row r="697">
      <c r="B697" s="26"/>
      <c r="M697" s="26"/>
    </row>
    <row r="698">
      <c r="B698" s="26"/>
      <c r="M698" s="26"/>
    </row>
    <row r="699">
      <c r="B699" s="26"/>
      <c r="M699" s="26"/>
    </row>
    <row r="700">
      <c r="B700" s="26"/>
      <c r="M700" s="26"/>
    </row>
    <row r="701">
      <c r="B701" s="26"/>
      <c r="M701" s="26"/>
    </row>
    <row r="702">
      <c r="B702" s="26"/>
      <c r="M702" s="26"/>
    </row>
    <row r="703">
      <c r="B703" s="26"/>
      <c r="M703" s="26"/>
    </row>
    <row r="704">
      <c r="B704" s="26"/>
      <c r="M704" s="26"/>
    </row>
    <row r="705">
      <c r="B705" s="26"/>
      <c r="M705" s="26"/>
    </row>
    <row r="706">
      <c r="B706" s="26"/>
      <c r="M706" s="26"/>
    </row>
    <row r="707">
      <c r="B707" s="26"/>
      <c r="M707" s="26"/>
    </row>
    <row r="708">
      <c r="B708" s="26"/>
      <c r="M708" s="26"/>
    </row>
    <row r="709">
      <c r="B709" s="26"/>
      <c r="M709" s="26"/>
    </row>
    <row r="710">
      <c r="B710" s="26"/>
      <c r="M710" s="26"/>
    </row>
    <row r="711">
      <c r="B711" s="26"/>
      <c r="M711" s="26"/>
    </row>
    <row r="712">
      <c r="B712" s="26"/>
      <c r="M712" s="26"/>
    </row>
    <row r="713">
      <c r="B713" s="26"/>
      <c r="M713" s="26"/>
    </row>
    <row r="714">
      <c r="B714" s="26"/>
      <c r="M714" s="26"/>
    </row>
    <row r="715">
      <c r="B715" s="26"/>
      <c r="M715" s="26"/>
    </row>
    <row r="716">
      <c r="B716" s="26"/>
      <c r="M716" s="26"/>
    </row>
    <row r="717">
      <c r="B717" s="26"/>
      <c r="M717" s="26"/>
    </row>
    <row r="718">
      <c r="B718" s="26"/>
      <c r="M718" s="26"/>
    </row>
    <row r="719">
      <c r="B719" s="26"/>
      <c r="M719" s="26"/>
    </row>
    <row r="720">
      <c r="B720" s="26"/>
      <c r="M720" s="26"/>
    </row>
    <row r="721">
      <c r="B721" s="26"/>
      <c r="M721" s="26"/>
    </row>
    <row r="722">
      <c r="B722" s="26"/>
      <c r="M722" s="26"/>
    </row>
    <row r="723">
      <c r="B723" s="26"/>
      <c r="M723" s="26"/>
    </row>
    <row r="724">
      <c r="B724" s="26"/>
      <c r="M724" s="26"/>
    </row>
    <row r="725">
      <c r="B725" s="26"/>
      <c r="M725" s="26"/>
    </row>
    <row r="726">
      <c r="B726" s="26"/>
      <c r="M726" s="26"/>
    </row>
    <row r="727">
      <c r="B727" s="26"/>
      <c r="M727" s="26"/>
    </row>
    <row r="728">
      <c r="B728" s="26"/>
      <c r="M728" s="26"/>
    </row>
    <row r="729">
      <c r="B729" s="26"/>
      <c r="M729" s="26"/>
    </row>
    <row r="730">
      <c r="B730" s="26"/>
      <c r="M730" s="26"/>
    </row>
    <row r="731">
      <c r="B731" s="26"/>
      <c r="M731" s="26"/>
    </row>
    <row r="732">
      <c r="B732" s="26"/>
      <c r="M732" s="26"/>
    </row>
    <row r="733">
      <c r="B733" s="26"/>
      <c r="M733" s="26"/>
    </row>
    <row r="734">
      <c r="B734" s="26"/>
      <c r="M734" s="26"/>
    </row>
    <row r="735">
      <c r="B735" s="26"/>
      <c r="M735" s="26"/>
    </row>
    <row r="736">
      <c r="B736" s="26"/>
      <c r="M736" s="26"/>
    </row>
    <row r="737">
      <c r="B737" s="26"/>
      <c r="M737" s="26"/>
    </row>
    <row r="738">
      <c r="B738" s="26"/>
      <c r="M738" s="26"/>
    </row>
    <row r="739">
      <c r="B739" s="26"/>
      <c r="M739" s="26"/>
    </row>
    <row r="740">
      <c r="B740" s="26"/>
      <c r="M740" s="26"/>
    </row>
    <row r="741">
      <c r="B741" s="26"/>
      <c r="M741" s="26"/>
    </row>
    <row r="742">
      <c r="B742" s="26"/>
      <c r="M742" s="26"/>
    </row>
    <row r="743">
      <c r="B743" s="26"/>
      <c r="M743" s="26"/>
    </row>
    <row r="744">
      <c r="B744" s="26"/>
      <c r="M744" s="26"/>
    </row>
    <row r="745">
      <c r="B745" s="26"/>
      <c r="M745" s="26"/>
    </row>
    <row r="746">
      <c r="B746" s="26"/>
      <c r="M746" s="26"/>
    </row>
    <row r="747">
      <c r="B747" s="26"/>
      <c r="M747" s="26"/>
    </row>
    <row r="748">
      <c r="B748" s="26"/>
      <c r="M748" s="26"/>
    </row>
    <row r="749">
      <c r="B749" s="26"/>
      <c r="M749" s="26"/>
    </row>
    <row r="750">
      <c r="B750" s="26"/>
      <c r="M750" s="26"/>
    </row>
    <row r="751">
      <c r="B751" s="26"/>
      <c r="M751" s="26"/>
    </row>
    <row r="752">
      <c r="B752" s="26"/>
      <c r="M752" s="26"/>
    </row>
    <row r="753">
      <c r="B753" s="26"/>
      <c r="M753" s="26"/>
    </row>
    <row r="754">
      <c r="B754" s="26"/>
      <c r="M754" s="26"/>
    </row>
    <row r="755">
      <c r="B755" s="26"/>
      <c r="M755" s="26"/>
    </row>
    <row r="756">
      <c r="B756" s="26"/>
      <c r="M756" s="26"/>
    </row>
    <row r="757">
      <c r="B757" s="26"/>
      <c r="M757" s="26"/>
    </row>
    <row r="758">
      <c r="B758" s="26"/>
      <c r="M758" s="26"/>
    </row>
    <row r="759">
      <c r="B759" s="26"/>
      <c r="M759" s="26"/>
    </row>
    <row r="760">
      <c r="B760" s="26"/>
      <c r="M760" s="26"/>
    </row>
    <row r="761">
      <c r="B761" s="26"/>
      <c r="M761" s="26"/>
    </row>
    <row r="762">
      <c r="B762" s="26"/>
      <c r="M762" s="26"/>
    </row>
    <row r="763">
      <c r="B763" s="26"/>
      <c r="M763" s="26"/>
    </row>
    <row r="764">
      <c r="B764" s="26"/>
      <c r="M764" s="26"/>
    </row>
    <row r="765">
      <c r="B765" s="26"/>
      <c r="M765" s="26"/>
    </row>
    <row r="766">
      <c r="B766" s="26"/>
      <c r="M766" s="26"/>
    </row>
    <row r="767">
      <c r="B767" s="26"/>
      <c r="M767" s="26"/>
    </row>
    <row r="768">
      <c r="B768" s="26"/>
      <c r="M768" s="26"/>
    </row>
    <row r="769">
      <c r="B769" s="26"/>
      <c r="M769" s="26"/>
    </row>
    <row r="770">
      <c r="B770" s="26"/>
      <c r="M770" s="26"/>
    </row>
    <row r="771">
      <c r="B771" s="26"/>
      <c r="M771" s="26"/>
    </row>
    <row r="772">
      <c r="B772" s="26"/>
      <c r="M772" s="26"/>
    </row>
    <row r="773">
      <c r="B773" s="26"/>
      <c r="M773" s="26"/>
    </row>
    <row r="774">
      <c r="B774" s="26"/>
      <c r="M774" s="26"/>
    </row>
    <row r="775">
      <c r="B775" s="26"/>
      <c r="M775" s="26"/>
    </row>
    <row r="776">
      <c r="B776" s="26"/>
      <c r="M776" s="26"/>
    </row>
    <row r="777">
      <c r="B777" s="26"/>
      <c r="M777" s="26"/>
    </row>
    <row r="778">
      <c r="B778" s="26"/>
      <c r="M778" s="26"/>
    </row>
    <row r="779">
      <c r="B779" s="26"/>
      <c r="M779" s="26"/>
    </row>
    <row r="780">
      <c r="B780" s="26"/>
      <c r="M780" s="26"/>
    </row>
    <row r="781">
      <c r="B781" s="26"/>
      <c r="M781" s="26"/>
    </row>
    <row r="782">
      <c r="B782" s="26"/>
      <c r="M782" s="26"/>
    </row>
    <row r="783">
      <c r="B783" s="26"/>
      <c r="M783" s="26"/>
    </row>
    <row r="784">
      <c r="B784" s="26"/>
      <c r="M784" s="26"/>
    </row>
    <row r="785">
      <c r="B785" s="26"/>
      <c r="M785" s="26"/>
    </row>
    <row r="786">
      <c r="B786" s="26"/>
      <c r="M786" s="26"/>
    </row>
    <row r="787">
      <c r="B787" s="26"/>
      <c r="M787" s="26"/>
    </row>
    <row r="788">
      <c r="B788" s="26"/>
      <c r="M788" s="26"/>
    </row>
    <row r="789">
      <c r="B789" s="26"/>
      <c r="M789" s="26"/>
    </row>
    <row r="790">
      <c r="B790" s="26"/>
      <c r="M790" s="26"/>
    </row>
    <row r="791">
      <c r="B791" s="26"/>
      <c r="M791" s="26"/>
    </row>
    <row r="792">
      <c r="B792" s="26"/>
      <c r="M792" s="26"/>
    </row>
    <row r="793">
      <c r="B793" s="26"/>
      <c r="M793" s="26"/>
    </row>
    <row r="794">
      <c r="B794" s="26"/>
      <c r="M794" s="26"/>
    </row>
    <row r="795">
      <c r="B795" s="26"/>
      <c r="M795" s="26"/>
    </row>
    <row r="796">
      <c r="B796" s="26"/>
      <c r="M796" s="26"/>
    </row>
    <row r="797">
      <c r="B797" s="26"/>
      <c r="M797" s="26"/>
    </row>
    <row r="798">
      <c r="B798" s="26"/>
      <c r="M798" s="26"/>
    </row>
    <row r="799">
      <c r="B799" s="26"/>
      <c r="M799" s="26"/>
    </row>
    <row r="800">
      <c r="B800" s="26"/>
      <c r="M800" s="26"/>
    </row>
    <row r="801">
      <c r="B801" s="26"/>
      <c r="M801" s="26"/>
    </row>
    <row r="802">
      <c r="B802" s="26"/>
      <c r="M802" s="26"/>
    </row>
    <row r="803">
      <c r="B803" s="26"/>
      <c r="M803" s="26"/>
    </row>
    <row r="804">
      <c r="B804" s="26"/>
      <c r="M804" s="26"/>
    </row>
    <row r="805">
      <c r="B805" s="26"/>
      <c r="M805" s="26"/>
    </row>
    <row r="806">
      <c r="B806" s="26"/>
      <c r="M806" s="26"/>
    </row>
    <row r="807">
      <c r="B807" s="26"/>
      <c r="M807" s="26"/>
    </row>
    <row r="808">
      <c r="B808" s="26"/>
      <c r="M808" s="26"/>
    </row>
    <row r="809">
      <c r="B809" s="26"/>
      <c r="M809" s="26"/>
    </row>
    <row r="810">
      <c r="B810" s="26"/>
      <c r="M810" s="26"/>
    </row>
    <row r="811">
      <c r="B811" s="26"/>
      <c r="M811" s="26"/>
    </row>
    <row r="812">
      <c r="B812" s="26"/>
      <c r="M812" s="26"/>
    </row>
    <row r="813">
      <c r="B813" s="26"/>
      <c r="M813" s="26"/>
    </row>
    <row r="814">
      <c r="B814" s="26"/>
      <c r="M814" s="26"/>
    </row>
    <row r="815">
      <c r="B815" s="26"/>
      <c r="M815" s="26"/>
    </row>
    <row r="816">
      <c r="B816" s="26"/>
      <c r="M816" s="26"/>
    </row>
    <row r="817">
      <c r="B817" s="26"/>
      <c r="M817" s="26"/>
    </row>
    <row r="818">
      <c r="B818" s="26"/>
      <c r="M818" s="26"/>
    </row>
    <row r="819">
      <c r="B819" s="26"/>
      <c r="M819" s="26"/>
    </row>
    <row r="820">
      <c r="B820" s="26"/>
      <c r="M820" s="26"/>
    </row>
    <row r="821">
      <c r="B821" s="26"/>
      <c r="M821" s="26"/>
    </row>
    <row r="822">
      <c r="B822" s="26"/>
      <c r="M822" s="26"/>
    </row>
    <row r="823">
      <c r="B823" s="26"/>
      <c r="M823" s="26"/>
    </row>
    <row r="824">
      <c r="B824" s="26"/>
      <c r="M824" s="26"/>
    </row>
    <row r="825">
      <c r="B825" s="26"/>
      <c r="M825" s="26"/>
    </row>
    <row r="826">
      <c r="B826" s="26"/>
      <c r="M826" s="26"/>
    </row>
    <row r="827">
      <c r="B827" s="26"/>
      <c r="M827" s="26"/>
    </row>
    <row r="828">
      <c r="B828" s="26"/>
      <c r="M828" s="26"/>
    </row>
    <row r="829">
      <c r="B829" s="26"/>
      <c r="M829" s="26"/>
    </row>
    <row r="830">
      <c r="B830" s="26"/>
      <c r="M830" s="26"/>
    </row>
    <row r="831">
      <c r="B831" s="26"/>
      <c r="M831" s="26"/>
    </row>
    <row r="832">
      <c r="B832" s="26"/>
      <c r="M832" s="26"/>
    </row>
    <row r="833">
      <c r="B833" s="26"/>
      <c r="M833" s="26"/>
    </row>
    <row r="834">
      <c r="B834" s="26"/>
      <c r="M834" s="26"/>
    </row>
    <row r="835">
      <c r="B835" s="26"/>
      <c r="M835" s="26"/>
    </row>
    <row r="836">
      <c r="B836" s="26"/>
      <c r="M836" s="26"/>
    </row>
    <row r="837">
      <c r="B837" s="26"/>
      <c r="M837" s="26"/>
    </row>
    <row r="838">
      <c r="B838" s="26"/>
      <c r="M838" s="26"/>
    </row>
    <row r="839">
      <c r="B839" s="26"/>
      <c r="M839" s="26"/>
    </row>
    <row r="840">
      <c r="B840" s="26"/>
      <c r="M840" s="26"/>
    </row>
    <row r="841">
      <c r="B841" s="26"/>
      <c r="M841" s="26"/>
    </row>
    <row r="842">
      <c r="B842" s="26"/>
      <c r="M842" s="26"/>
    </row>
    <row r="843">
      <c r="B843" s="26"/>
      <c r="M843" s="26"/>
    </row>
    <row r="844">
      <c r="B844" s="26"/>
      <c r="M844" s="26"/>
    </row>
    <row r="845">
      <c r="B845" s="26"/>
      <c r="M845" s="26"/>
    </row>
    <row r="846">
      <c r="B846" s="26"/>
      <c r="M846" s="26"/>
    </row>
    <row r="847">
      <c r="B847" s="26"/>
      <c r="M847" s="26"/>
    </row>
    <row r="848">
      <c r="B848" s="26"/>
      <c r="M848" s="26"/>
    </row>
    <row r="849">
      <c r="B849" s="26"/>
      <c r="M849" s="26"/>
    </row>
    <row r="850">
      <c r="B850" s="26"/>
      <c r="M850" s="26"/>
    </row>
    <row r="851">
      <c r="B851" s="26"/>
      <c r="M851" s="26"/>
    </row>
    <row r="852">
      <c r="B852" s="26"/>
      <c r="M852" s="26"/>
    </row>
    <row r="853">
      <c r="B853" s="26"/>
      <c r="M853" s="26"/>
    </row>
    <row r="854">
      <c r="B854" s="26"/>
      <c r="M854" s="26"/>
    </row>
    <row r="855">
      <c r="B855" s="26"/>
      <c r="M855" s="26"/>
    </row>
    <row r="856">
      <c r="B856" s="26"/>
      <c r="M856" s="26"/>
    </row>
    <row r="857">
      <c r="B857" s="26"/>
      <c r="M857" s="26"/>
    </row>
    <row r="858">
      <c r="B858" s="26"/>
      <c r="M858" s="26"/>
    </row>
    <row r="859">
      <c r="B859" s="26"/>
      <c r="M859" s="26"/>
    </row>
    <row r="860">
      <c r="B860" s="26"/>
      <c r="M860" s="26"/>
    </row>
    <row r="861">
      <c r="B861" s="26"/>
      <c r="M861" s="26"/>
    </row>
    <row r="862">
      <c r="B862" s="26"/>
      <c r="M862" s="26"/>
    </row>
    <row r="863">
      <c r="B863" s="26"/>
      <c r="M863" s="26"/>
    </row>
    <row r="864">
      <c r="B864" s="26"/>
      <c r="M864" s="26"/>
    </row>
    <row r="865">
      <c r="B865" s="26"/>
      <c r="M865" s="26"/>
    </row>
    <row r="866">
      <c r="B866" s="26"/>
      <c r="M866" s="26"/>
    </row>
    <row r="867">
      <c r="B867" s="26"/>
      <c r="M867" s="26"/>
    </row>
    <row r="868">
      <c r="B868" s="26"/>
      <c r="M868" s="26"/>
    </row>
    <row r="869">
      <c r="B869" s="26"/>
      <c r="M869" s="26"/>
    </row>
    <row r="870">
      <c r="B870" s="26"/>
      <c r="M870" s="26"/>
    </row>
    <row r="871">
      <c r="B871" s="26"/>
      <c r="M871" s="26"/>
    </row>
    <row r="872">
      <c r="B872" s="26"/>
      <c r="M872" s="26"/>
    </row>
    <row r="873">
      <c r="B873" s="26"/>
      <c r="M873" s="26"/>
    </row>
    <row r="874">
      <c r="B874" s="26"/>
      <c r="M874" s="26"/>
    </row>
    <row r="875">
      <c r="B875" s="26"/>
      <c r="M875" s="26"/>
    </row>
    <row r="876">
      <c r="B876" s="26"/>
      <c r="M876" s="26"/>
    </row>
    <row r="877">
      <c r="B877" s="26"/>
      <c r="M877" s="26"/>
    </row>
    <row r="878">
      <c r="B878" s="26"/>
      <c r="M878" s="26"/>
    </row>
    <row r="879">
      <c r="B879" s="26"/>
      <c r="M879" s="26"/>
    </row>
    <row r="880">
      <c r="B880" s="26"/>
      <c r="M880" s="26"/>
    </row>
    <row r="881">
      <c r="B881" s="26"/>
      <c r="M881" s="26"/>
    </row>
    <row r="882">
      <c r="B882" s="26"/>
      <c r="M882" s="26"/>
    </row>
    <row r="883">
      <c r="B883" s="26"/>
      <c r="M883" s="26"/>
    </row>
    <row r="884">
      <c r="B884" s="26"/>
      <c r="M884" s="26"/>
    </row>
    <row r="885">
      <c r="B885" s="26"/>
      <c r="M885" s="26"/>
    </row>
    <row r="886">
      <c r="B886" s="26"/>
      <c r="M886" s="26"/>
    </row>
    <row r="887">
      <c r="B887" s="26"/>
      <c r="M887" s="26"/>
    </row>
    <row r="888">
      <c r="B888" s="26"/>
      <c r="M888" s="26"/>
    </row>
    <row r="889">
      <c r="B889" s="26"/>
      <c r="M889" s="26"/>
    </row>
    <row r="890">
      <c r="B890" s="26"/>
      <c r="M890" s="26"/>
    </row>
    <row r="891">
      <c r="B891" s="26"/>
      <c r="M891" s="26"/>
    </row>
    <row r="892">
      <c r="B892" s="26"/>
      <c r="M892" s="26"/>
    </row>
    <row r="893">
      <c r="B893" s="26"/>
      <c r="M893" s="26"/>
    </row>
    <row r="894">
      <c r="B894" s="26"/>
      <c r="M894" s="26"/>
    </row>
    <row r="895">
      <c r="B895" s="26"/>
      <c r="M895" s="26"/>
    </row>
    <row r="896">
      <c r="B896" s="26"/>
      <c r="M896" s="26"/>
    </row>
    <row r="897">
      <c r="B897" s="26"/>
      <c r="M897" s="26"/>
    </row>
    <row r="898">
      <c r="B898" s="26"/>
      <c r="M898" s="26"/>
    </row>
    <row r="899">
      <c r="B899" s="26"/>
      <c r="M899" s="26"/>
    </row>
    <row r="900">
      <c r="B900" s="26"/>
      <c r="M900" s="26"/>
    </row>
    <row r="901">
      <c r="B901" s="26"/>
      <c r="M901" s="26"/>
    </row>
    <row r="902">
      <c r="B902" s="26"/>
      <c r="M902" s="26"/>
    </row>
    <row r="903">
      <c r="B903" s="26"/>
      <c r="M903" s="26"/>
    </row>
    <row r="904">
      <c r="B904" s="26"/>
      <c r="M904" s="26"/>
    </row>
    <row r="905">
      <c r="B905" s="26"/>
      <c r="M905" s="26"/>
    </row>
    <row r="906">
      <c r="B906" s="26"/>
      <c r="M906" s="26"/>
    </row>
    <row r="907">
      <c r="B907" s="26"/>
      <c r="M907" s="26"/>
    </row>
    <row r="908">
      <c r="B908" s="26"/>
      <c r="M908" s="26"/>
    </row>
    <row r="909">
      <c r="B909" s="26"/>
      <c r="M909" s="26"/>
    </row>
    <row r="910">
      <c r="B910" s="26"/>
      <c r="M910" s="26"/>
    </row>
    <row r="911">
      <c r="B911" s="26"/>
      <c r="M911" s="26"/>
    </row>
    <row r="912">
      <c r="B912" s="26"/>
      <c r="M912" s="26"/>
    </row>
    <row r="913">
      <c r="B913" s="26"/>
      <c r="M913" s="26"/>
    </row>
    <row r="914">
      <c r="B914" s="26"/>
      <c r="M914" s="26"/>
    </row>
    <row r="915">
      <c r="B915" s="26"/>
      <c r="M915" s="26"/>
    </row>
    <row r="916">
      <c r="B916" s="26"/>
      <c r="M916" s="26"/>
    </row>
    <row r="917">
      <c r="B917" s="26"/>
      <c r="M917" s="26"/>
    </row>
    <row r="918">
      <c r="B918" s="26"/>
      <c r="M918" s="26"/>
    </row>
    <row r="919">
      <c r="B919" s="26"/>
      <c r="M919" s="26"/>
    </row>
    <row r="920">
      <c r="B920" s="26"/>
      <c r="M920" s="26"/>
    </row>
    <row r="921">
      <c r="B921" s="26"/>
      <c r="M921" s="26"/>
    </row>
    <row r="922">
      <c r="B922" s="26"/>
      <c r="M922" s="26"/>
    </row>
    <row r="923">
      <c r="B923" s="26"/>
      <c r="M923" s="26"/>
    </row>
    <row r="924">
      <c r="B924" s="26"/>
      <c r="M924" s="26"/>
    </row>
    <row r="925">
      <c r="B925" s="26"/>
      <c r="M925" s="26"/>
    </row>
    <row r="926">
      <c r="B926" s="26"/>
      <c r="M926" s="26"/>
    </row>
    <row r="927">
      <c r="B927" s="26"/>
      <c r="M927" s="26"/>
    </row>
    <row r="928">
      <c r="B928" s="26"/>
      <c r="M928" s="26"/>
    </row>
    <row r="929">
      <c r="B929" s="26"/>
      <c r="M929" s="26"/>
    </row>
    <row r="930">
      <c r="B930" s="26"/>
      <c r="M930" s="26"/>
    </row>
    <row r="931">
      <c r="B931" s="26"/>
      <c r="M931" s="26"/>
    </row>
    <row r="932">
      <c r="B932" s="26"/>
      <c r="M932" s="26"/>
    </row>
    <row r="933">
      <c r="B933" s="26"/>
      <c r="M933" s="26"/>
    </row>
    <row r="934">
      <c r="B934" s="26"/>
      <c r="M934" s="26"/>
    </row>
    <row r="935">
      <c r="B935" s="26"/>
      <c r="M935" s="26"/>
    </row>
    <row r="936">
      <c r="B936" s="26"/>
      <c r="M936" s="26"/>
    </row>
    <row r="937">
      <c r="B937" s="26"/>
      <c r="M937" s="26"/>
    </row>
    <row r="938">
      <c r="B938" s="26"/>
      <c r="M938" s="26"/>
    </row>
    <row r="939">
      <c r="B939" s="26"/>
      <c r="M939" s="26"/>
    </row>
    <row r="940">
      <c r="B940" s="26"/>
      <c r="M940" s="26"/>
    </row>
    <row r="941">
      <c r="B941" s="26"/>
      <c r="M941" s="26"/>
    </row>
    <row r="942">
      <c r="B942" s="26"/>
      <c r="M942" s="26"/>
    </row>
    <row r="943">
      <c r="B943" s="26"/>
      <c r="M943" s="26"/>
    </row>
    <row r="944">
      <c r="B944" s="26"/>
      <c r="M944" s="26"/>
    </row>
    <row r="945">
      <c r="B945" s="26"/>
      <c r="M945" s="26"/>
    </row>
    <row r="946">
      <c r="B946" s="26"/>
      <c r="M946" s="26"/>
    </row>
    <row r="947">
      <c r="B947" s="26"/>
      <c r="M947" s="26"/>
    </row>
    <row r="948">
      <c r="B948" s="26"/>
      <c r="M948" s="26"/>
    </row>
    <row r="949">
      <c r="B949" s="26"/>
      <c r="M949" s="26"/>
    </row>
    <row r="950">
      <c r="B950" s="26"/>
      <c r="M950" s="26"/>
    </row>
    <row r="951">
      <c r="B951" s="26"/>
      <c r="M951" s="26"/>
    </row>
    <row r="952">
      <c r="B952" s="26"/>
      <c r="M952" s="26"/>
    </row>
    <row r="953">
      <c r="B953" s="26"/>
      <c r="M953" s="26"/>
    </row>
    <row r="954">
      <c r="B954" s="26"/>
      <c r="M954" s="26"/>
    </row>
    <row r="955">
      <c r="B955" s="26"/>
      <c r="M955" s="26"/>
    </row>
    <row r="956">
      <c r="B956" s="26"/>
      <c r="M956" s="26"/>
    </row>
    <row r="957">
      <c r="B957" s="26"/>
      <c r="M957" s="26"/>
    </row>
    <row r="958">
      <c r="B958" s="26"/>
      <c r="M958" s="26"/>
    </row>
    <row r="959">
      <c r="B959" s="26"/>
      <c r="M959" s="26"/>
    </row>
    <row r="960">
      <c r="B960" s="26"/>
      <c r="M960" s="26"/>
    </row>
    <row r="961">
      <c r="B961" s="26"/>
      <c r="M961" s="26"/>
    </row>
    <row r="962">
      <c r="B962" s="26"/>
      <c r="M962" s="26"/>
    </row>
    <row r="963">
      <c r="B963" s="26"/>
      <c r="M963" s="26"/>
    </row>
    <row r="964">
      <c r="B964" s="26"/>
      <c r="M964" s="26"/>
    </row>
    <row r="965">
      <c r="B965" s="26"/>
      <c r="M965" s="26"/>
    </row>
    <row r="966">
      <c r="B966" s="26"/>
      <c r="M966" s="26"/>
    </row>
    <row r="967">
      <c r="B967" s="26"/>
      <c r="M967" s="26"/>
    </row>
    <row r="968">
      <c r="B968" s="26"/>
      <c r="M968" s="26"/>
    </row>
    <row r="969">
      <c r="B969" s="26"/>
      <c r="M969" s="26"/>
    </row>
    <row r="970">
      <c r="B970" s="26"/>
      <c r="M970" s="26"/>
    </row>
    <row r="971">
      <c r="B971" s="26"/>
      <c r="M971" s="26"/>
    </row>
    <row r="972">
      <c r="B972" s="26"/>
      <c r="M972" s="26"/>
    </row>
    <row r="973">
      <c r="B973" s="26"/>
      <c r="M973" s="26"/>
    </row>
    <row r="974">
      <c r="B974" s="26"/>
      <c r="M974" s="26"/>
    </row>
    <row r="975">
      <c r="B975" s="26"/>
      <c r="M975" s="26"/>
    </row>
    <row r="976">
      <c r="B976" s="26"/>
      <c r="M976" s="26"/>
    </row>
    <row r="977">
      <c r="B977" s="26"/>
      <c r="M977" s="26"/>
    </row>
    <row r="978">
      <c r="B978" s="26"/>
      <c r="M978" s="26"/>
    </row>
    <row r="979">
      <c r="B979" s="26"/>
      <c r="M979" s="26"/>
    </row>
    <row r="980">
      <c r="B980" s="26"/>
      <c r="M980" s="26"/>
    </row>
    <row r="981">
      <c r="B981" s="26"/>
      <c r="M981" s="26"/>
    </row>
    <row r="982">
      <c r="B982" s="26"/>
      <c r="M982" s="26"/>
    </row>
    <row r="983">
      <c r="B983" s="26"/>
      <c r="M983" s="26"/>
    </row>
    <row r="984">
      <c r="B984" s="26"/>
      <c r="M984" s="26"/>
    </row>
    <row r="985">
      <c r="B985" s="26"/>
      <c r="M985" s="26"/>
    </row>
    <row r="986">
      <c r="B986" s="26"/>
      <c r="M986" s="26"/>
    </row>
    <row r="987">
      <c r="B987" s="26"/>
      <c r="M987" s="26"/>
    </row>
    <row r="988">
      <c r="B988" s="26"/>
      <c r="M988" s="26"/>
    </row>
    <row r="989">
      <c r="B989" s="26"/>
      <c r="M989" s="26"/>
    </row>
    <row r="990">
      <c r="B990" s="26"/>
      <c r="M990" s="26"/>
    </row>
    <row r="991">
      <c r="B991" s="26"/>
      <c r="M991" s="26"/>
    </row>
    <row r="992">
      <c r="B992" s="26"/>
      <c r="M992" s="26"/>
    </row>
    <row r="993">
      <c r="B993" s="26"/>
      <c r="M993" s="26"/>
    </row>
    <row r="994">
      <c r="B994" s="26"/>
      <c r="M994" s="26"/>
    </row>
    <row r="995">
      <c r="B995" s="26"/>
      <c r="M995" s="26"/>
    </row>
    <row r="996">
      <c r="B996" s="26"/>
      <c r="M996" s="26"/>
    </row>
    <row r="997">
      <c r="B997" s="26"/>
      <c r="M997" s="26"/>
    </row>
    <row r="998">
      <c r="B998" s="26"/>
      <c r="M998" s="26"/>
    </row>
    <row r="999">
      <c r="B999" s="26"/>
      <c r="M999" s="26"/>
    </row>
    <row r="1000">
      <c r="B1000" s="26"/>
      <c r="M1000" s="2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6" width="17.75"/>
    <col customWidth="1" min="7" max="7" width="6.88"/>
    <col customWidth="1" min="8" max="8" width="5.88"/>
    <col customWidth="1" min="9" max="10" width="10.63"/>
  </cols>
  <sheetData>
    <row r="1">
      <c r="A1" s="17" t="s">
        <v>159</v>
      </c>
      <c r="B1" s="17" t="s">
        <v>160</v>
      </c>
      <c r="C1" s="17" t="s">
        <v>136</v>
      </c>
      <c r="D1" s="17" t="s">
        <v>161</v>
      </c>
      <c r="E1" s="17" t="s">
        <v>138</v>
      </c>
      <c r="F1" s="17" t="s">
        <v>82</v>
      </c>
      <c r="G1" s="17" t="s">
        <v>83</v>
      </c>
      <c r="H1" s="17" t="s">
        <v>132</v>
      </c>
      <c r="I1" s="17" t="s">
        <v>133</v>
      </c>
      <c r="J1" s="17" t="s">
        <v>162</v>
      </c>
      <c r="K1" s="17" t="s">
        <v>127</v>
      </c>
    </row>
    <row r="2">
      <c r="A2" s="17" t="s">
        <v>163</v>
      </c>
      <c r="B2" s="17" t="s">
        <v>164</v>
      </c>
      <c r="C2" s="17" t="s">
        <v>143</v>
      </c>
      <c r="D2" s="19">
        <v>9.23434379809E11</v>
      </c>
      <c r="E2" s="17" t="s">
        <v>144</v>
      </c>
      <c r="F2" s="17" t="s">
        <v>88</v>
      </c>
      <c r="G2" s="17" t="s">
        <v>89</v>
      </c>
      <c r="H2" s="19">
        <v>100.0</v>
      </c>
      <c r="I2" s="19">
        <v>100.0</v>
      </c>
      <c r="J2" s="19">
        <v>10000.0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75"/>
    <col customWidth="1" min="3" max="3" width="21.5"/>
    <col customWidth="1" min="4" max="4" width="13.63"/>
    <col customWidth="1" min="5" max="5" width="11.38"/>
    <col customWidth="1" min="6" max="6" width="7.25"/>
    <col customWidth="1" min="7" max="7" width="11.5"/>
  </cols>
  <sheetData>
    <row r="1">
      <c r="A1" s="27" t="s">
        <v>135</v>
      </c>
      <c r="B1" s="27" t="s">
        <v>136</v>
      </c>
      <c r="C1" s="28" t="s">
        <v>153</v>
      </c>
      <c r="D1" s="28" t="s">
        <v>165</v>
      </c>
      <c r="E1" s="27" t="s">
        <v>166</v>
      </c>
      <c r="F1" s="27" t="s">
        <v>167</v>
      </c>
      <c r="G1" s="27" t="s">
        <v>168</v>
      </c>
    </row>
    <row r="2">
      <c r="A2" s="17" t="s">
        <v>74</v>
      </c>
      <c r="B2" s="17" t="s">
        <v>143</v>
      </c>
      <c r="C2" s="17" t="s">
        <v>51</v>
      </c>
      <c r="D2" s="17" t="s">
        <v>146</v>
      </c>
      <c r="E2" s="19">
        <v>0.0</v>
      </c>
      <c r="F2" s="19">
        <v>10000.0</v>
      </c>
      <c r="G2" s="25">
        <v>45669.0</v>
      </c>
    </row>
    <row r="3">
      <c r="A3" s="17" t="s">
        <v>74</v>
      </c>
      <c r="B3" s="17" t="s">
        <v>143</v>
      </c>
      <c r="C3" s="17" t="s">
        <v>51</v>
      </c>
      <c r="D3" s="17" t="s">
        <v>169</v>
      </c>
      <c r="E3" s="19">
        <v>10000.0</v>
      </c>
      <c r="F3" s="19">
        <v>0.0</v>
      </c>
      <c r="G3" s="17" t="s">
        <v>170</v>
      </c>
    </row>
    <row r="4">
      <c r="A4" s="17" t="s">
        <v>74</v>
      </c>
      <c r="B4" s="17" t="s">
        <v>143</v>
      </c>
      <c r="C4" s="17" t="s">
        <v>51</v>
      </c>
      <c r="D4" s="17" t="s">
        <v>169</v>
      </c>
      <c r="E4" s="19">
        <v>10000.0</v>
      </c>
      <c r="F4" s="19">
        <v>0.0</v>
      </c>
      <c r="G4" s="17" t="s">
        <v>170</v>
      </c>
    </row>
    <row r="5">
      <c r="A5" s="17" t="s">
        <v>74</v>
      </c>
      <c r="B5" s="17" t="s">
        <v>143</v>
      </c>
      <c r="C5" s="17" t="s">
        <v>51</v>
      </c>
      <c r="D5" s="17" t="s">
        <v>169</v>
      </c>
      <c r="E5" s="19">
        <v>10000.0</v>
      </c>
      <c r="F5" s="19">
        <v>0.0</v>
      </c>
      <c r="G5" s="17" t="s">
        <v>170</v>
      </c>
    </row>
    <row r="6">
      <c r="A6" s="17" t="s">
        <v>74</v>
      </c>
      <c r="B6" s="17" t="s">
        <v>143</v>
      </c>
      <c r="C6" s="17" t="s">
        <v>51</v>
      </c>
      <c r="D6" s="17" t="s">
        <v>146</v>
      </c>
      <c r="E6" s="19">
        <v>10000.0</v>
      </c>
      <c r="F6" s="19">
        <v>0.0</v>
      </c>
      <c r="G6" s="25">
        <v>46009.0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</row>
    <row r="2">
      <c r="A2" s="17" t="s">
        <v>178</v>
      </c>
      <c r="B2" s="17">
        <v>10000.0</v>
      </c>
      <c r="C2" s="17">
        <v>850000.0</v>
      </c>
      <c r="D2" s="17">
        <v>-840000.0</v>
      </c>
      <c r="E2" s="17">
        <v>1000.0</v>
      </c>
      <c r="F2" s="17">
        <v>-841000.0</v>
      </c>
      <c r="G2" s="17">
        <v>870000.0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41</v>
      </c>
      <c r="B1" s="29" t="s">
        <v>42</v>
      </c>
      <c r="C1" s="29" t="s">
        <v>179</v>
      </c>
      <c r="D1" s="30" t="s">
        <v>55</v>
      </c>
      <c r="E1" s="29" t="s">
        <v>56</v>
      </c>
      <c r="F1" s="29" t="s">
        <v>57</v>
      </c>
      <c r="G1" s="29" t="s">
        <v>64</v>
      </c>
      <c r="H1" s="29" t="s">
        <v>180</v>
      </c>
    </row>
    <row r="2">
      <c r="A2" s="17" t="s">
        <v>181</v>
      </c>
      <c r="B2" s="17" t="s">
        <v>182</v>
      </c>
      <c r="C2" s="17" t="s">
        <v>183</v>
      </c>
      <c r="D2" s="17">
        <v>5.0</v>
      </c>
      <c r="E2" s="19">
        <v>150.0</v>
      </c>
      <c r="F2" s="17" t="s">
        <v>61</v>
      </c>
      <c r="G2" s="17" t="s">
        <v>62</v>
      </c>
      <c r="H2" s="17" t="s">
        <v>184</v>
      </c>
    </row>
    <row r="3">
      <c r="A3" s="17" t="s">
        <v>185</v>
      </c>
      <c r="B3" s="17" t="s">
        <v>182</v>
      </c>
      <c r="C3" s="17" t="s">
        <v>183</v>
      </c>
      <c r="D3" s="17">
        <v>5.0</v>
      </c>
      <c r="E3" s="19">
        <v>150.0</v>
      </c>
      <c r="F3" s="17" t="s">
        <v>61</v>
      </c>
      <c r="G3" s="17" t="s">
        <v>62</v>
      </c>
      <c r="H3" s="17" t="s">
        <v>184</v>
      </c>
    </row>
    <row r="4">
      <c r="A4" s="17" t="s">
        <v>186</v>
      </c>
      <c r="B4" s="17" t="s">
        <v>182</v>
      </c>
      <c r="C4" s="17" t="s">
        <v>183</v>
      </c>
      <c r="D4" s="19">
        <v>5.0</v>
      </c>
      <c r="E4" s="17" t="s">
        <v>187</v>
      </c>
      <c r="F4" s="17" t="s">
        <v>61</v>
      </c>
      <c r="G4" s="17" t="s">
        <v>62</v>
      </c>
      <c r="H4" s="17" t="s">
        <v>184</v>
      </c>
    </row>
    <row r="5">
      <c r="A5" s="17" t="s">
        <v>188</v>
      </c>
      <c r="B5" s="17" t="s">
        <v>182</v>
      </c>
      <c r="C5" s="17" t="s">
        <v>51</v>
      </c>
      <c r="D5" s="19">
        <v>5.0</v>
      </c>
      <c r="E5" s="17" t="s">
        <v>60</v>
      </c>
      <c r="F5" s="17" t="s">
        <v>61</v>
      </c>
      <c r="G5" s="17" t="s">
        <v>62</v>
      </c>
      <c r="H5" s="17" t="s">
        <v>184</v>
      </c>
    </row>
    <row r="6">
      <c r="A6" s="17" t="s">
        <v>189</v>
      </c>
      <c r="B6" s="17" t="s">
        <v>143</v>
      </c>
      <c r="C6" s="17" t="s">
        <v>51</v>
      </c>
      <c r="D6" s="19">
        <v>5.0</v>
      </c>
      <c r="E6" s="17" t="s">
        <v>60</v>
      </c>
      <c r="F6" s="17" t="s">
        <v>61</v>
      </c>
      <c r="G6" s="17" t="s">
        <v>62</v>
      </c>
      <c r="H6" s="17" t="s">
        <v>184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41</v>
      </c>
      <c r="B1" s="29" t="s">
        <v>42</v>
      </c>
      <c r="C1" s="29" t="s">
        <v>179</v>
      </c>
      <c r="D1" s="30" t="s">
        <v>55</v>
      </c>
      <c r="E1" s="29" t="s">
        <v>56</v>
      </c>
      <c r="F1" s="30" t="s">
        <v>190</v>
      </c>
      <c r="G1" s="30" t="s">
        <v>191</v>
      </c>
      <c r="H1" s="30" t="s">
        <v>192</v>
      </c>
      <c r="I1" s="30" t="s">
        <v>193</v>
      </c>
      <c r="J1" s="17" t="s">
        <v>180</v>
      </c>
    </row>
    <row r="2">
      <c r="A2" s="17" t="s">
        <v>194</v>
      </c>
      <c r="B2" s="17" t="s">
        <v>143</v>
      </c>
      <c r="C2" s="17" t="s">
        <v>51</v>
      </c>
      <c r="D2" s="19">
        <v>2.0</v>
      </c>
      <c r="E2" s="17" t="s">
        <v>88</v>
      </c>
      <c r="G2" s="19">
        <v>200.0</v>
      </c>
      <c r="H2" s="19">
        <v>160.0</v>
      </c>
      <c r="I2" s="17" t="s">
        <v>195</v>
      </c>
      <c r="J2" s="17" t="s">
        <v>196</v>
      </c>
    </row>
    <row r="3">
      <c r="A3" s="17" t="s">
        <v>197</v>
      </c>
      <c r="B3" s="17" t="s">
        <v>143</v>
      </c>
      <c r="C3" s="17" t="s">
        <v>51</v>
      </c>
      <c r="D3" s="19">
        <v>3.0</v>
      </c>
      <c r="E3" s="17" t="s">
        <v>88</v>
      </c>
      <c r="G3" s="19">
        <v>400.0</v>
      </c>
      <c r="H3" s="19">
        <v>320.0</v>
      </c>
      <c r="I3" s="17" t="s">
        <v>198</v>
      </c>
      <c r="J3" s="17" t="s">
        <v>196</v>
      </c>
    </row>
    <row r="4">
      <c r="A4" s="17" t="s">
        <v>199</v>
      </c>
      <c r="B4" s="17" t="s">
        <v>143</v>
      </c>
      <c r="C4" s="17" t="s">
        <v>51</v>
      </c>
      <c r="D4" s="19">
        <v>4.0</v>
      </c>
      <c r="E4" s="17" t="s">
        <v>88</v>
      </c>
      <c r="G4" s="19">
        <v>1000.0</v>
      </c>
      <c r="H4" s="19">
        <v>800.0</v>
      </c>
      <c r="I4" s="17" t="s">
        <v>200</v>
      </c>
      <c r="J4" s="17" t="s">
        <v>196</v>
      </c>
    </row>
    <row r="5">
      <c r="A5" s="17" t="s">
        <v>201</v>
      </c>
      <c r="B5" s="17" t="s">
        <v>143</v>
      </c>
      <c r="C5" s="17" t="s">
        <v>51</v>
      </c>
      <c r="D5" s="19">
        <v>2.0</v>
      </c>
      <c r="E5" s="17" t="s">
        <v>88</v>
      </c>
      <c r="F5" s="17" t="s">
        <v>91</v>
      </c>
      <c r="G5" s="19">
        <v>200.0</v>
      </c>
      <c r="H5" s="19">
        <v>160.0</v>
      </c>
      <c r="I5" s="17" t="s">
        <v>195</v>
      </c>
      <c r="J5" s="17" t="s">
        <v>196</v>
      </c>
    </row>
    <row r="6">
      <c r="A6" s="17" t="s">
        <v>202</v>
      </c>
      <c r="B6" s="17" t="s">
        <v>143</v>
      </c>
      <c r="C6" s="17" t="s">
        <v>51</v>
      </c>
      <c r="D6" s="19">
        <v>3.0</v>
      </c>
      <c r="E6" s="17" t="s">
        <v>88</v>
      </c>
      <c r="F6" s="17" t="s">
        <v>92</v>
      </c>
      <c r="G6" s="19">
        <v>400.0</v>
      </c>
      <c r="H6" s="19">
        <v>320.0</v>
      </c>
      <c r="I6" s="17" t="s">
        <v>198</v>
      </c>
      <c r="J6" s="17" t="s">
        <v>196</v>
      </c>
    </row>
    <row r="7">
      <c r="A7" s="17" t="s">
        <v>203</v>
      </c>
      <c r="B7" s="17" t="s">
        <v>143</v>
      </c>
      <c r="C7" s="17" t="s">
        <v>51</v>
      </c>
      <c r="D7" s="19">
        <v>4.0</v>
      </c>
      <c r="E7" s="17" t="s">
        <v>88</v>
      </c>
      <c r="F7" s="17" t="s">
        <v>93</v>
      </c>
      <c r="G7" s="19">
        <v>1000.0</v>
      </c>
      <c r="H7" s="19">
        <v>800.0</v>
      </c>
      <c r="I7" s="17" t="s">
        <v>200</v>
      </c>
      <c r="J7" s="17" t="s">
        <v>196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25"/>
  </cols>
  <sheetData>
    <row r="1">
      <c r="A1" s="17" t="s">
        <v>41</v>
      </c>
      <c r="B1" s="29" t="s">
        <v>204</v>
      </c>
      <c r="C1" s="29" t="s">
        <v>205</v>
      </c>
      <c r="D1" s="29" t="s">
        <v>44</v>
      </c>
      <c r="E1" s="29" t="s">
        <v>206</v>
      </c>
      <c r="F1" s="29" t="s">
        <v>207</v>
      </c>
      <c r="G1" s="29" t="s">
        <v>208</v>
      </c>
      <c r="H1" s="29" t="s">
        <v>209</v>
      </c>
      <c r="I1" s="29" t="s">
        <v>210</v>
      </c>
    </row>
    <row r="2">
      <c r="A2" s="17" t="s">
        <v>211</v>
      </c>
      <c r="B2" s="17" t="s">
        <v>74</v>
      </c>
      <c r="C2" s="17" t="s">
        <v>143</v>
      </c>
      <c r="D2" s="17" t="s">
        <v>51</v>
      </c>
      <c r="E2" s="17" t="s">
        <v>212</v>
      </c>
      <c r="F2" s="17" t="s">
        <v>213</v>
      </c>
      <c r="G2" s="17" t="s">
        <v>214</v>
      </c>
      <c r="H2" s="19">
        <v>20.0</v>
      </c>
      <c r="I2" s="17" t="s">
        <v>215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216</v>
      </c>
      <c r="B1" s="29" t="s">
        <v>180</v>
      </c>
      <c r="C1" s="29" t="s">
        <v>217</v>
      </c>
    </row>
    <row r="2">
      <c r="A2" s="17" t="s">
        <v>218</v>
      </c>
      <c r="B2" s="17" t="s">
        <v>219</v>
      </c>
      <c r="C2" s="31">
        <v>45989.71697916667</v>
      </c>
    </row>
    <row r="3">
      <c r="A3" s="17" t="s">
        <v>218</v>
      </c>
      <c r="B3" s="17" t="s">
        <v>219</v>
      </c>
      <c r="C3" s="31">
        <v>45989.71697916667</v>
      </c>
    </row>
  </sheetData>
  <drawing r:id="rId1"/>
</worksheet>
</file>