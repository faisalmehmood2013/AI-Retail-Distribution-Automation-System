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1. Daily Activity\1_Artifical_Intelligence\1_Artificial_Intelligence\2_AI_Zafar_Iqbal\2_Projects\1_Retail_Distribution_Automation\Retail Automation – Master Template\"/>
    </mc:Choice>
  </mc:AlternateContent>
  <bookViews>
    <workbookView xWindow="0" yWindow="0" windowWidth="14370" windowHeight="6825" firstSheet="3" activeTab="7"/>
  </bookViews>
  <sheets>
    <sheet name="Company Infomation" sheetId="1" r:id="rId1"/>
    <sheet name="Purchase Order" sheetId="2" r:id="rId2"/>
    <sheet name="Stock Received" sheetId="3" r:id="rId3"/>
    <sheet name="Purchase Register" sheetId="4" r:id="rId4"/>
    <sheet name="Customer Order" sheetId="5" r:id="rId5"/>
    <sheet name="Invoice" sheetId="6" r:id="rId6"/>
    <sheet name="Sales Register" sheetId="7" r:id="rId7"/>
    <sheet name="Stock Register" sheetId="8" r:id="rId8"/>
  </sheets>
  <calcPr calcId="162913"/>
</workbook>
</file>

<file path=xl/calcChain.xml><?xml version="1.0" encoding="utf-8"?>
<calcChain xmlns="http://schemas.openxmlformats.org/spreadsheetml/2006/main">
  <c r="I5" i="8" l="1"/>
  <c r="H5" i="8"/>
  <c r="C5" i="8"/>
  <c r="B5" i="8"/>
  <c r="D5" i="8" s="1"/>
  <c r="I4" i="8"/>
  <c r="H4" i="8"/>
  <c r="C4" i="8"/>
  <c r="B4" i="8"/>
  <c r="D4" i="8" s="1"/>
  <c r="I3" i="8"/>
  <c r="H3" i="8"/>
  <c r="C3" i="8"/>
  <c r="B3" i="8"/>
  <c r="D3" i="8" s="1"/>
  <c r="I2" i="8"/>
  <c r="H2" i="8"/>
  <c r="C2" i="8"/>
  <c r="B2" i="8"/>
  <c r="D2" i="8" s="1"/>
  <c r="G5" i="7"/>
  <c r="H5" i="7" s="1"/>
  <c r="F5" i="7"/>
  <c r="F5" i="8" s="1"/>
  <c r="E5" i="7"/>
  <c r="D5" i="7"/>
  <c r="C5" i="7"/>
  <c r="G4" i="7"/>
  <c r="H4" i="7" s="1"/>
  <c r="F4" i="7"/>
  <c r="F4" i="8" s="1"/>
  <c r="K4" i="8" s="1"/>
  <c r="E4" i="7"/>
  <c r="D4" i="7"/>
  <c r="C4" i="7"/>
  <c r="G3" i="7"/>
  <c r="H3" i="7" s="1"/>
  <c r="F3" i="7"/>
  <c r="F3" i="8" s="1"/>
  <c r="K3" i="8" s="1"/>
  <c r="E3" i="7"/>
  <c r="D3" i="7"/>
  <c r="C3" i="7"/>
  <c r="G2" i="7"/>
  <c r="F2" i="7"/>
  <c r="H2" i="7" s="1"/>
  <c r="E2" i="7"/>
  <c r="D2" i="7"/>
  <c r="C2" i="7"/>
  <c r="F5" i="4"/>
  <c r="I5" i="4" s="1"/>
  <c r="F4" i="4"/>
  <c r="I4" i="4" s="1"/>
  <c r="F3" i="4"/>
  <c r="I3" i="4" s="1"/>
  <c r="F2" i="4"/>
  <c r="I2" i="4" s="1"/>
  <c r="J5" i="3"/>
  <c r="H5" i="3"/>
  <c r="J4" i="3"/>
  <c r="H4" i="3"/>
  <c r="J3" i="3"/>
  <c r="H3" i="3"/>
  <c r="J2" i="3"/>
  <c r="H2" i="3"/>
  <c r="E2" i="8" l="1"/>
  <c r="E4" i="8"/>
  <c r="G4" i="8" s="1"/>
  <c r="E3" i="8"/>
  <c r="G3" i="8" s="1"/>
  <c r="E5" i="8"/>
  <c r="J5" i="8" s="1"/>
  <c r="K5" i="8"/>
  <c r="J2" i="8"/>
  <c r="F2" i="8"/>
  <c r="K2" i="8" s="1"/>
  <c r="J4" i="8" l="1"/>
  <c r="J3" i="8"/>
  <c r="G5" i="8"/>
  <c r="N3" i="8"/>
  <c r="L3" i="8"/>
  <c r="N5" i="8"/>
  <c r="L5" i="8"/>
  <c r="G2" i="8"/>
  <c r="N4" i="8"/>
  <c r="L4" i="8"/>
  <c r="N2" i="8" l="1"/>
  <c r="L2" i="8"/>
</calcChain>
</file>

<file path=xl/sharedStrings.xml><?xml version="1.0" encoding="utf-8"?>
<sst xmlns="http://schemas.openxmlformats.org/spreadsheetml/2006/main" count="148" uniqueCount="66">
  <si>
    <t>company_name</t>
  </si>
  <si>
    <t>contact_number</t>
  </si>
  <si>
    <t>email</t>
  </si>
  <si>
    <t>contact_person</t>
  </si>
  <si>
    <t>product</t>
  </si>
  <si>
    <t>product_id</t>
  </si>
  <si>
    <t>product_name</t>
  </si>
  <si>
    <t>size</t>
  </si>
  <si>
    <t>category</t>
  </si>
  <si>
    <t>shahfaisal1234@gmail.com</t>
  </si>
  <si>
    <t>Faisal Mehmood</t>
  </si>
  <si>
    <t>Nestle Water Pure Life</t>
  </si>
  <si>
    <t>500 ml</t>
  </si>
  <si>
    <t>water</t>
  </si>
  <si>
    <t>1500 ml</t>
  </si>
  <si>
    <t>5 Litre</t>
  </si>
  <si>
    <t>19 Litre</t>
  </si>
  <si>
    <t>timestamp</t>
  </si>
  <si>
    <t>qty_order</t>
  </si>
  <si>
    <t>qty_recieved</t>
  </si>
  <si>
    <t>cost_price</t>
  </si>
  <si>
    <t>total_cost</t>
  </si>
  <si>
    <t>expiry_date</t>
  </si>
  <si>
    <t>expairy_days_remaining</t>
  </si>
  <si>
    <t>18-11-2025</t>
  </si>
  <si>
    <t>18-11-2026</t>
  </si>
  <si>
    <t>Sr</t>
  </si>
  <si>
    <t>qty_received</t>
  </si>
  <si>
    <t>cost_price_per_unit</t>
  </si>
  <si>
    <t>sale_price_per_unit</t>
  </si>
  <si>
    <t>quntity</t>
  </si>
  <si>
    <t>price</t>
  </si>
  <si>
    <t>total_price</t>
  </si>
  <si>
    <t>order_id</t>
  </si>
  <si>
    <t>customer_name</t>
  </si>
  <si>
    <t>whatsapp_number</t>
  </si>
  <si>
    <t>address</t>
  </si>
  <si>
    <t>landmark</t>
  </si>
  <si>
    <t>payment_method</t>
  </si>
  <si>
    <t>delivery_time_preference</t>
  </si>
  <si>
    <t>status</t>
  </si>
  <si>
    <t>description</t>
  </si>
  <si>
    <t xml:space="preserve">2025-11-20T01:35:39.777Z
</t>
  </si>
  <si>
    <t xml:space="preserve"> Ord-1763602539782</t>
  </si>
  <si>
    <t>Usman Abad Colony Multan</t>
  </si>
  <si>
    <t>Eid Gha Mosque</t>
  </si>
  <si>
    <t>Cash on Delivery</t>
  </si>
  <si>
    <t>Afternoon</t>
  </si>
  <si>
    <t>Confirmed</t>
  </si>
  <si>
    <t>Order accepted (in stock)</t>
  </si>
  <si>
    <t>invoice no</t>
  </si>
  <si>
    <t>date</t>
  </si>
  <si>
    <t>whatsapp_no</t>
  </si>
  <si>
    <t>total_amount</t>
  </si>
  <si>
    <t xml:space="preserve">INV-1763602571457
</t>
  </si>
  <si>
    <t>2025-11-19T00:00:00.000-05:00</t>
  </si>
  <si>
    <t>sr #</t>
  </si>
  <si>
    <t>sale</t>
  </si>
  <si>
    <t>sale_price</t>
  </si>
  <si>
    <t>total_sale</t>
  </si>
  <si>
    <t>purchase_stock</t>
  </si>
  <si>
    <t>sale_stock</t>
  </si>
  <si>
    <t>current_stock</t>
  </si>
  <si>
    <t>total_purchase</t>
  </si>
  <si>
    <t>reorder_level</t>
  </si>
  <si>
    <t>need_to_reorder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</si>
</sst>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5"/>
  <sheetViews>
    <sheetView workbookViewId="0">
      <selection activeCell="A2" sqref="A2:E2"/>
    </sheetView>
  </sheetViews>
  <sheetFormatPr defaultColWidth="12.5703125" defaultRowHeight="15.75" customHeight="1" x14ac:dyDescent="0.2"/>
  <cols>
    <col min="1" max="1" width="17.140625" customWidth="1"/>
    <col min="3" max="3" width="21.42578125" customWidth="1"/>
    <col min="6" max="6" width="8.7109375" customWidth="1"/>
    <col min="7" max="7" width="17.7109375" customWidth="1"/>
    <col min="8" max="8" width="6.85546875" customWidth="1"/>
    <col min="9" max="9" width="8.28515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 x14ac:dyDescent="0.2">
      <c r="A2" s="1"/>
      <c r="B2" s="1"/>
      <c r="C2" s="1"/>
      <c r="D2" s="1"/>
      <c r="E2" s="1"/>
      <c r="F2" s="1">
        <v>1</v>
      </c>
      <c r="G2" s="1" t="s">
        <v>11</v>
      </c>
      <c r="H2" s="1" t="s">
        <v>12</v>
      </c>
      <c r="I2" s="1" t="s">
        <v>13</v>
      </c>
    </row>
    <row r="3" spans="1:9" x14ac:dyDescent="0.2">
      <c r="F3" s="1">
        <v>2</v>
      </c>
      <c r="G3" s="1" t="s">
        <v>11</v>
      </c>
      <c r="H3" s="1" t="s">
        <v>14</v>
      </c>
      <c r="I3" s="1" t="s">
        <v>13</v>
      </c>
    </row>
    <row r="4" spans="1:9" x14ac:dyDescent="0.2">
      <c r="F4" s="1">
        <v>3</v>
      </c>
      <c r="G4" s="1" t="s">
        <v>11</v>
      </c>
      <c r="H4" s="1" t="s">
        <v>15</v>
      </c>
      <c r="I4" s="1" t="s">
        <v>13</v>
      </c>
    </row>
    <row r="5" spans="1:9" x14ac:dyDescent="0.2">
      <c r="F5" s="1">
        <v>4</v>
      </c>
      <c r="G5" s="1" t="s">
        <v>11</v>
      </c>
      <c r="H5" s="1" t="s">
        <v>16</v>
      </c>
      <c r="I5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"/>
  <sheetViews>
    <sheetView workbookViewId="0">
      <selection activeCell="A2" sqref="A2:F2"/>
    </sheetView>
  </sheetViews>
  <sheetFormatPr defaultColWidth="12.5703125" defaultRowHeight="15.75" customHeight="1" x14ac:dyDescent="0.2"/>
  <sheetData>
    <row r="1" spans="1:6" x14ac:dyDescent="0.2">
      <c r="A1" s="1" t="s">
        <v>17</v>
      </c>
      <c r="B1" s="1" t="s">
        <v>5</v>
      </c>
      <c r="C1" s="1" t="s">
        <v>6</v>
      </c>
      <c r="D1" s="2" t="s">
        <v>7</v>
      </c>
      <c r="E1" s="2" t="s">
        <v>8</v>
      </c>
      <c r="F1" s="2" t="s">
        <v>18</v>
      </c>
    </row>
    <row r="2" spans="1:6" x14ac:dyDescent="0.2">
      <c r="A2" s="1"/>
      <c r="B2" s="1"/>
      <c r="C2" s="1"/>
      <c r="D2" s="1"/>
      <c r="E2" s="1"/>
      <c r="F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Views>
    <sheetView workbookViewId="0">
      <selection activeCell="F7" sqref="F7"/>
    </sheetView>
  </sheetViews>
  <sheetFormatPr defaultColWidth="12.5703125" defaultRowHeight="15.75" customHeight="1" x14ac:dyDescent="0.2"/>
  <cols>
    <col min="1" max="1" width="9.42578125" customWidth="1"/>
    <col min="2" max="2" width="8.7109375" customWidth="1"/>
    <col min="3" max="3" width="17.7109375" customWidth="1"/>
    <col min="4" max="4" width="6.85546875" customWidth="1"/>
    <col min="5" max="5" width="8" customWidth="1"/>
    <col min="6" max="6" width="11.42578125" customWidth="1"/>
    <col min="8" max="8" width="12" customWidth="1"/>
    <col min="10" max="10" width="10.140625" customWidth="1"/>
  </cols>
  <sheetData>
    <row r="1" spans="1:10" x14ac:dyDescent="0.2">
      <c r="A1" s="1" t="s">
        <v>17</v>
      </c>
      <c r="B1" s="1" t="s">
        <v>5</v>
      </c>
      <c r="C1" s="1" t="s">
        <v>6</v>
      </c>
      <c r="D1" s="2" t="s">
        <v>7</v>
      </c>
      <c r="E1" s="2" t="s">
        <v>8</v>
      </c>
      <c r="F1" s="2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 x14ac:dyDescent="0.2">
      <c r="A2" s="1" t="s">
        <v>24</v>
      </c>
      <c r="B2" s="2">
        <v>1</v>
      </c>
      <c r="C2" s="1" t="s">
        <v>11</v>
      </c>
      <c r="D2" s="1" t="s">
        <v>12</v>
      </c>
      <c r="E2" s="2" t="s">
        <v>13</v>
      </c>
      <c r="F2" s="2">
        <v>1000</v>
      </c>
      <c r="G2" s="1">
        <v>50</v>
      </c>
      <c r="H2" s="3">
        <f t="shared" ref="H2:H5" si="0">G2*F2</f>
        <v>50000</v>
      </c>
      <c r="I2" s="1" t="s">
        <v>25</v>
      </c>
      <c r="J2" s="3">
        <f t="shared" ref="J2:J5" ca="1" si="1">DATE(RIGHT(I2,4), MID(I2,4,2), LEFT(I2,2)) - TODAY()</f>
        <v>363</v>
      </c>
    </row>
    <row r="3" spans="1:10" x14ac:dyDescent="0.2">
      <c r="A3" s="1" t="s">
        <v>24</v>
      </c>
      <c r="B3" s="2">
        <v>2</v>
      </c>
      <c r="C3" s="1" t="s">
        <v>11</v>
      </c>
      <c r="D3" s="1" t="s">
        <v>14</v>
      </c>
      <c r="E3" s="2" t="s">
        <v>13</v>
      </c>
      <c r="F3" s="2">
        <v>1000</v>
      </c>
      <c r="G3" s="1">
        <v>100</v>
      </c>
      <c r="H3" s="3">
        <f t="shared" si="0"/>
        <v>100000</v>
      </c>
      <c r="I3" s="1" t="s">
        <v>25</v>
      </c>
      <c r="J3" s="3">
        <f t="shared" ca="1" si="1"/>
        <v>363</v>
      </c>
    </row>
    <row r="4" spans="1:10" x14ac:dyDescent="0.2">
      <c r="A4" s="1" t="s">
        <v>24</v>
      </c>
      <c r="B4" s="2">
        <v>3</v>
      </c>
      <c r="C4" s="1" t="s">
        <v>11</v>
      </c>
      <c r="D4" s="1" t="s">
        <v>15</v>
      </c>
      <c r="E4" s="2" t="s">
        <v>13</v>
      </c>
      <c r="F4" s="2">
        <v>1000</v>
      </c>
      <c r="G4" s="1">
        <v>200</v>
      </c>
      <c r="H4" s="3">
        <f t="shared" si="0"/>
        <v>200000</v>
      </c>
      <c r="I4" s="1" t="s">
        <v>25</v>
      </c>
      <c r="J4" s="3">
        <f t="shared" ca="1" si="1"/>
        <v>363</v>
      </c>
    </row>
    <row r="5" spans="1:10" x14ac:dyDescent="0.2">
      <c r="A5" s="1" t="s">
        <v>24</v>
      </c>
      <c r="B5" s="2">
        <v>4</v>
      </c>
      <c r="C5" s="1" t="s">
        <v>11</v>
      </c>
      <c r="D5" s="1" t="s">
        <v>16</v>
      </c>
      <c r="E5" s="2" t="s">
        <v>13</v>
      </c>
      <c r="F5" s="2">
        <v>1000</v>
      </c>
      <c r="G5" s="1">
        <v>500</v>
      </c>
      <c r="H5" s="3">
        <f t="shared" si="0"/>
        <v>500000</v>
      </c>
      <c r="I5" s="1" t="s">
        <v>25</v>
      </c>
      <c r="J5" s="3">
        <f t="shared" ca="1" si="1"/>
        <v>363</v>
      </c>
    </row>
    <row r="6" spans="1:10" x14ac:dyDescent="0.2">
      <c r="A6" s="1"/>
      <c r="B6" s="1"/>
      <c r="C6" s="1"/>
      <c r="D6" s="1"/>
      <c r="E6" s="1"/>
      <c r="F6" s="1"/>
      <c r="G6" s="1"/>
      <c r="H6" s="1"/>
      <c r="I6" s="1"/>
      <c r="J6" s="3"/>
    </row>
    <row r="7" spans="1:10" x14ac:dyDescent="0.2">
      <c r="A7" s="1"/>
      <c r="B7" s="1"/>
      <c r="C7" s="1"/>
      <c r="D7" s="1"/>
      <c r="E7" s="1"/>
      <c r="F7" s="1"/>
      <c r="G7" s="1"/>
      <c r="H7" s="1"/>
      <c r="I7" s="1"/>
      <c r="J7" s="3"/>
    </row>
    <row r="8" spans="1:10" x14ac:dyDescent="0.2">
      <c r="A8" s="1"/>
      <c r="B8" s="1"/>
      <c r="C8" s="1"/>
      <c r="D8" s="1"/>
      <c r="E8" s="1"/>
      <c r="F8" s="1"/>
      <c r="G8" s="1"/>
      <c r="H8" s="1"/>
      <c r="I8" s="1"/>
      <c r="J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G3" sqref="G3"/>
    </sheetView>
  </sheetViews>
  <sheetFormatPr defaultColWidth="12.5703125" defaultRowHeight="15.75" customHeight="1" x14ac:dyDescent="0.2"/>
  <cols>
    <col min="1" max="1" width="2.85546875" customWidth="1"/>
    <col min="2" max="2" width="9.42578125" customWidth="1"/>
    <col min="3" max="3" width="17.7109375" customWidth="1"/>
    <col min="4" max="4" width="6.85546875" customWidth="1"/>
    <col min="5" max="5" width="8" customWidth="1"/>
    <col min="6" max="6" width="11.42578125" customWidth="1"/>
    <col min="7" max="8" width="17" customWidth="1"/>
    <col min="9" max="9" width="8.85546875" customWidth="1"/>
  </cols>
  <sheetData>
    <row r="1" spans="1:26" x14ac:dyDescent="0.2">
      <c r="A1" s="2" t="s">
        <v>26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27</v>
      </c>
      <c r="G1" s="2" t="s">
        <v>28</v>
      </c>
      <c r="H1" s="2" t="s">
        <v>29</v>
      </c>
      <c r="I1" s="2" t="s">
        <v>21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2">
        <v>1</v>
      </c>
      <c r="B2" s="2">
        <v>1</v>
      </c>
      <c r="C2" s="1" t="s">
        <v>11</v>
      </c>
      <c r="D2" s="1" t="s">
        <v>12</v>
      </c>
      <c r="E2" s="2" t="s">
        <v>13</v>
      </c>
      <c r="F2" s="4">
        <f>SUMIF('Stock Received'!B:B, B2, 'Stock Received'!F:F)</f>
        <v>1000</v>
      </c>
      <c r="G2" s="2">
        <v>50</v>
      </c>
      <c r="H2" s="2">
        <v>100</v>
      </c>
      <c r="I2" s="4">
        <f t="shared" ref="I2:I5" si="0">F2*G2</f>
        <v>50000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2">
        <v>2</v>
      </c>
      <c r="B3" s="2">
        <v>2</v>
      </c>
      <c r="C3" s="1" t="s">
        <v>11</v>
      </c>
      <c r="D3" s="1" t="s">
        <v>14</v>
      </c>
      <c r="E3" s="2" t="s">
        <v>13</v>
      </c>
      <c r="F3" s="4">
        <f>SUMIF('Stock Received'!B:B, B3, 'Stock Received'!F:F)</f>
        <v>1000</v>
      </c>
      <c r="G3" s="2">
        <v>100</v>
      </c>
      <c r="H3" s="2">
        <v>200</v>
      </c>
      <c r="I3" s="4">
        <f t="shared" si="0"/>
        <v>100000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2">
        <v>3</v>
      </c>
      <c r="B4" s="2">
        <v>3</v>
      </c>
      <c r="C4" s="1" t="s">
        <v>11</v>
      </c>
      <c r="D4" s="1" t="s">
        <v>15</v>
      </c>
      <c r="E4" s="2" t="s">
        <v>13</v>
      </c>
      <c r="F4" s="4">
        <f>SUMIF('Stock Received'!B:B, B4, 'Stock Received'!F:F)</f>
        <v>1000</v>
      </c>
      <c r="G4" s="2">
        <v>200</v>
      </c>
      <c r="H4" s="2">
        <v>400</v>
      </c>
      <c r="I4" s="4">
        <f t="shared" si="0"/>
        <v>200000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2">
        <v>4</v>
      </c>
      <c r="B5" s="2">
        <v>4</v>
      </c>
      <c r="C5" s="1" t="s">
        <v>11</v>
      </c>
      <c r="D5" s="1" t="s">
        <v>16</v>
      </c>
      <c r="E5" s="2" t="s">
        <v>13</v>
      </c>
      <c r="F5" s="4">
        <f>SUMIF('Stock Received'!B:B, B5, 'Stock Received'!F:F)</f>
        <v>1000</v>
      </c>
      <c r="G5" s="2">
        <v>500</v>
      </c>
      <c r="H5" s="2">
        <v>1000</v>
      </c>
      <c r="I5" s="4">
        <f t="shared" si="0"/>
        <v>500000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4"/>
      <c r="B6" s="2"/>
      <c r="D6" s="2"/>
      <c r="E6" s="2"/>
      <c r="F6" s="2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2"/>
  <sheetViews>
    <sheetView workbookViewId="0">
      <selection activeCell="A2" sqref="A2"/>
    </sheetView>
  </sheetViews>
  <sheetFormatPr defaultColWidth="12.5703125" defaultRowHeight="15.75" customHeight="1" x14ac:dyDescent="0.2"/>
  <cols>
    <col min="1" max="1" width="9.28515625" customWidth="1"/>
    <col min="3" max="3" width="17.7109375" customWidth="1"/>
    <col min="4" max="4" width="6" customWidth="1"/>
    <col min="5" max="5" width="8" customWidth="1"/>
  </cols>
  <sheetData>
    <row r="1" spans="1:18" x14ac:dyDescent="0.2">
      <c r="A1" s="2" t="s">
        <v>17</v>
      </c>
      <c r="B1" s="2" t="s">
        <v>5</v>
      </c>
      <c r="C1" s="2" t="s">
        <v>6</v>
      </c>
      <c r="D1" s="2" t="s">
        <v>7</v>
      </c>
      <c r="E1" s="2" t="s">
        <v>8</v>
      </c>
      <c r="F1" s="1" t="s">
        <v>30</v>
      </c>
      <c r="G1" s="1" t="s">
        <v>31</v>
      </c>
      <c r="H1" s="1" t="s">
        <v>32</v>
      </c>
      <c r="I1" s="2" t="s">
        <v>33</v>
      </c>
      <c r="J1" s="2" t="s">
        <v>34</v>
      </c>
      <c r="K1" s="2" t="s">
        <v>35</v>
      </c>
      <c r="L1" s="1" t="s">
        <v>2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</row>
    <row r="2" spans="1:18" x14ac:dyDescent="0.2">
      <c r="A2" s="1" t="s">
        <v>42</v>
      </c>
      <c r="B2" s="1">
        <v>1</v>
      </c>
      <c r="C2" s="1" t="s">
        <v>11</v>
      </c>
      <c r="D2" s="1" t="s">
        <v>12</v>
      </c>
      <c r="E2" s="1" t="s">
        <v>13</v>
      </c>
      <c r="F2" s="1">
        <v>501</v>
      </c>
      <c r="G2" s="1">
        <v>100</v>
      </c>
      <c r="H2" s="1">
        <v>50100</v>
      </c>
      <c r="I2" s="1" t="s">
        <v>43</v>
      </c>
      <c r="J2" s="1" t="s">
        <v>10</v>
      </c>
      <c r="K2" s="3">
        <v>9231111111</v>
      </c>
      <c r="L2" s="1" t="s">
        <v>9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"/>
  <sheetViews>
    <sheetView workbookViewId="0">
      <selection activeCell="D3" sqref="D3"/>
    </sheetView>
  </sheetViews>
  <sheetFormatPr defaultColWidth="12.5703125" defaultRowHeight="15.75" customHeight="1" x14ac:dyDescent="0.2"/>
  <cols>
    <col min="3" max="3" width="15.28515625" customWidth="1"/>
    <col min="4" max="6" width="17.7109375" customWidth="1"/>
    <col min="7" max="7" width="6.85546875" customWidth="1"/>
    <col min="8" max="8" width="5.85546875" customWidth="1"/>
    <col min="9" max="10" width="10.5703125" customWidth="1"/>
  </cols>
  <sheetData>
    <row r="1" spans="1:11" x14ac:dyDescent="0.2">
      <c r="A1" s="1" t="s">
        <v>50</v>
      </c>
      <c r="B1" s="1" t="s">
        <v>51</v>
      </c>
      <c r="C1" s="1" t="s">
        <v>34</v>
      </c>
      <c r="D1" s="1" t="s">
        <v>52</v>
      </c>
      <c r="E1" s="1" t="s">
        <v>36</v>
      </c>
      <c r="F1" s="1" t="s">
        <v>6</v>
      </c>
      <c r="G1" s="1" t="s">
        <v>7</v>
      </c>
      <c r="H1" s="1" t="s">
        <v>30</v>
      </c>
      <c r="I1" s="1" t="s">
        <v>31</v>
      </c>
      <c r="J1" s="1" t="s">
        <v>53</v>
      </c>
      <c r="K1" s="1" t="s">
        <v>40</v>
      </c>
    </row>
    <row r="2" spans="1:11" x14ac:dyDescent="0.2">
      <c r="A2" s="1" t="s">
        <v>54</v>
      </c>
      <c r="B2" s="1" t="s">
        <v>55</v>
      </c>
      <c r="C2" s="1" t="s">
        <v>10</v>
      </c>
      <c r="D2" s="5">
        <v>9231111111</v>
      </c>
      <c r="E2" s="1" t="s">
        <v>44</v>
      </c>
      <c r="F2" s="1" t="s">
        <v>11</v>
      </c>
      <c r="G2" s="1" t="s">
        <v>12</v>
      </c>
      <c r="H2" s="5">
        <v>501</v>
      </c>
      <c r="I2" s="5">
        <v>100</v>
      </c>
      <c r="J2" s="5">
        <v>50100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5"/>
  <sheetViews>
    <sheetView workbookViewId="0"/>
  </sheetViews>
  <sheetFormatPr defaultColWidth="12.5703125" defaultRowHeight="15.75" customHeight="1" x14ac:dyDescent="0.2"/>
  <cols>
    <col min="1" max="1" width="4" customWidth="1"/>
    <col min="2" max="2" width="9.42578125" customWidth="1"/>
    <col min="3" max="3" width="17.7109375" customWidth="1"/>
    <col min="4" max="4" width="6.85546875" customWidth="1"/>
    <col min="5" max="5" width="8" customWidth="1"/>
    <col min="6" max="6" width="4.85546875" customWidth="1"/>
  </cols>
  <sheetData>
    <row r="1" spans="1:8" x14ac:dyDescent="0.2">
      <c r="A1" s="2" t="s">
        <v>56</v>
      </c>
      <c r="B1" s="2" t="s">
        <v>5</v>
      </c>
      <c r="C1" s="2" t="s">
        <v>6</v>
      </c>
      <c r="D1" s="2" t="s">
        <v>7</v>
      </c>
      <c r="E1" s="2" t="s">
        <v>8</v>
      </c>
      <c r="F1" s="1" t="s">
        <v>57</v>
      </c>
      <c r="G1" s="1" t="s">
        <v>58</v>
      </c>
      <c r="H1" s="1" t="s">
        <v>59</v>
      </c>
    </row>
    <row r="2" spans="1:8" x14ac:dyDescent="0.2">
      <c r="A2" s="2">
        <v>1</v>
      </c>
      <c r="B2" s="2">
        <v>1</v>
      </c>
      <c r="C2" s="1" t="str">
        <f>VLOOKUP(B2, 'Purchase Register'!B:F, 2, FALSE)</f>
        <v>Nestle Water Pure Life</v>
      </c>
      <c r="D2" s="1" t="str">
        <f>VLOOKUP(B2, 'Purchase Register'!B:F, 3, FALSE)</f>
        <v>500 ml</v>
      </c>
      <c r="E2" s="1" t="str">
        <f>VLOOKUP(B2, 'Purchase Register'!B:H, 4, FALSE)</f>
        <v>water</v>
      </c>
      <c r="F2" s="3">
        <f>SUMIF('Customer Order'!B:B, B2, 'Customer Order'!F:F)</f>
        <v>501</v>
      </c>
      <c r="G2" s="3">
        <f>'Purchase Register'!H2</f>
        <v>100</v>
      </c>
      <c r="H2" s="3">
        <f t="shared" ref="H2:H5" si="0">G2*F2</f>
        <v>50100</v>
      </c>
    </row>
    <row r="3" spans="1:8" x14ac:dyDescent="0.2">
      <c r="A3" s="2">
        <v>2</v>
      </c>
      <c r="B3" s="2">
        <v>2</v>
      </c>
      <c r="C3" s="1" t="str">
        <f>VLOOKUP(B3, 'Purchase Register'!B:F, 2, FALSE)</f>
        <v>Nestle Water Pure Life</v>
      </c>
      <c r="D3" s="1" t="str">
        <f>VLOOKUP(B3, 'Purchase Register'!B:F, 3, FALSE)</f>
        <v>1500 ml</v>
      </c>
      <c r="E3" s="1" t="str">
        <f>VLOOKUP(B3, 'Purchase Register'!B:H, 4, FALSE)</f>
        <v>water</v>
      </c>
      <c r="F3" s="3">
        <f>SUMIF('Customer Order'!B:B, B3, 'Customer Order'!F:F)</f>
        <v>0</v>
      </c>
      <c r="G3" s="3">
        <f>'Purchase Register'!H3</f>
        <v>200</v>
      </c>
      <c r="H3" s="3">
        <f t="shared" si="0"/>
        <v>0</v>
      </c>
    </row>
    <row r="4" spans="1:8" x14ac:dyDescent="0.2">
      <c r="A4" s="2">
        <v>3</v>
      </c>
      <c r="B4" s="2">
        <v>3</v>
      </c>
      <c r="C4" s="1" t="str">
        <f>VLOOKUP(B4, 'Purchase Register'!B:F, 2, FALSE)</f>
        <v>Nestle Water Pure Life</v>
      </c>
      <c r="D4" s="1" t="str">
        <f>VLOOKUP(B4, 'Purchase Register'!B:F, 3, FALSE)</f>
        <v>5 Litre</v>
      </c>
      <c r="E4" s="1" t="str">
        <f>VLOOKUP(B4, 'Purchase Register'!B:H, 4, FALSE)</f>
        <v>water</v>
      </c>
      <c r="F4" s="3">
        <f>SUMIF('Customer Order'!B:B, B4, 'Customer Order'!F:F)</f>
        <v>0</v>
      </c>
      <c r="G4" s="3">
        <f>'Purchase Register'!H4</f>
        <v>400</v>
      </c>
      <c r="H4" s="3">
        <f t="shared" si="0"/>
        <v>0</v>
      </c>
    </row>
    <row r="5" spans="1:8" x14ac:dyDescent="0.2">
      <c r="A5" s="2">
        <v>4</v>
      </c>
      <c r="B5" s="2">
        <v>4</v>
      </c>
      <c r="C5" s="1" t="str">
        <f>VLOOKUP(B5, 'Purchase Register'!B:F, 2, FALSE)</f>
        <v>Nestle Water Pure Life</v>
      </c>
      <c r="D5" s="1" t="str">
        <f>VLOOKUP(B5, 'Purchase Register'!B:F, 3, FALSE)</f>
        <v>19 Litre</v>
      </c>
      <c r="E5" s="1" t="str">
        <f>VLOOKUP(B5, 'Purchase Register'!B:H, 4, FALSE)</f>
        <v>water</v>
      </c>
      <c r="F5" s="3">
        <f>SUMIF('Customer Order'!B:B, B5, 'Customer Order'!F:F)</f>
        <v>0</v>
      </c>
      <c r="G5" s="3">
        <f>'Purchase Register'!H5</f>
        <v>1000</v>
      </c>
      <c r="H5" s="3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5"/>
  <sheetViews>
    <sheetView tabSelected="1" workbookViewId="0">
      <selection activeCell="M1" sqref="M1"/>
    </sheetView>
  </sheetViews>
  <sheetFormatPr defaultColWidth="12.5703125" defaultRowHeight="15.75" customHeight="1" x14ac:dyDescent="0.2"/>
  <cols>
    <col min="1" max="1" width="9.140625" customWidth="1"/>
    <col min="2" max="2" width="17.7109375" customWidth="1"/>
    <col min="3" max="3" width="6.85546875" customWidth="1"/>
    <col min="4" max="4" width="8" customWidth="1"/>
    <col min="5" max="5" width="12.42578125" customWidth="1"/>
    <col min="6" max="6" width="8.7109375" customWidth="1"/>
    <col min="7" max="7" width="11.28515625" customWidth="1"/>
    <col min="8" max="8" width="8.5703125" customWidth="1"/>
    <col min="9" max="9" width="8.42578125" customWidth="1"/>
    <col min="10" max="10" width="11.85546875" customWidth="1"/>
    <col min="11" max="11" width="8.140625" customWidth="1"/>
    <col min="12" max="12" width="7.7109375" customWidth="1"/>
  </cols>
  <sheetData>
    <row r="1" spans="1:14" ht="15.75" customHeight="1" x14ac:dyDescent="0.25">
      <c r="A1" s="6" t="s">
        <v>5</v>
      </c>
      <c r="B1" s="6" t="s">
        <v>6</v>
      </c>
      <c r="C1" s="2" t="s">
        <v>7</v>
      </c>
      <c r="D1" s="2" t="s">
        <v>8</v>
      </c>
      <c r="E1" s="6" t="s">
        <v>60</v>
      </c>
      <c r="F1" s="6" t="s">
        <v>61</v>
      </c>
      <c r="G1" s="6" t="s">
        <v>62</v>
      </c>
      <c r="H1" s="6" t="s">
        <v>20</v>
      </c>
      <c r="I1" s="6" t="s">
        <v>58</v>
      </c>
      <c r="J1" s="1" t="s">
        <v>63</v>
      </c>
      <c r="K1" s="1" t="s">
        <v>59</v>
      </c>
      <c r="L1" s="1" t="s">
        <v>40</v>
      </c>
      <c r="M1" s="1" t="s">
        <v>64</v>
      </c>
      <c r="N1" s="1" t="s">
        <v>65</v>
      </c>
    </row>
    <row r="2" spans="1:14" ht="12.75" x14ac:dyDescent="0.2">
      <c r="A2" s="1">
        <v>1</v>
      </c>
      <c r="B2" s="1" t="str">
        <f>VLOOKUP(A2, 'Purchase Register'!B:E, 2, FALSE)</f>
        <v>Nestle Water Pure Life</v>
      </c>
      <c r="C2" s="1" t="str">
        <f>VLOOKUP(A2, 'Purchase Register'!B:E, 3, FALSE)</f>
        <v>500 ml</v>
      </c>
      <c r="D2" s="1" t="str">
        <f>VLOOKUP(B2, 'Purchase Register'!C:F, 3, FALSE)</f>
        <v>water</v>
      </c>
      <c r="E2" s="1">
        <f>VLOOKUP(C2, 'Purchase Register'!D:G, 3, FALSE)</f>
        <v>1000</v>
      </c>
      <c r="F2" s="1">
        <f>VLOOKUP(A2, 'Sales Register'!A:G, 6, FALSE)</f>
        <v>501</v>
      </c>
      <c r="G2" s="3">
        <f t="shared" ref="G2:G5" si="0">E2-F2</f>
        <v>499</v>
      </c>
      <c r="H2" s="1">
        <f>VLOOKUP(A2, 'Purchase Register'!B:I, 6, FALSE)</f>
        <v>50</v>
      </c>
      <c r="I2" s="1">
        <f>VLOOKUP(A2, 'Purchase Register'!B:I, 7, FALSE)</f>
        <v>100</v>
      </c>
      <c r="J2" s="3">
        <f t="shared" ref="J2:K2" si="1">E2*H2</f>
        <v>50000</v>
      </c>
      <c r="K2" s="3">
        <f t="shared" si="1"/>
        <v>50100</v>
      </c>
      <c r="L2" s="3" t="str">
        <f t="shared" ref="L2:L5" si="2">IF(G2=0,"Not Available",IF(G2&lt;=10,"Low Stock","Available"))</f>
        <v>Available</v>
      </c>
      <c r="M2" s="1">
        <v>500</v>
      </c>
      <c r="N2" s="3" t="str">
        <f t="shared" ref="N2:N5" si="3">IF(G2&lt;=M2,"Yes","No")</f>
        <v>Yes</v>
      </c>
    </row>
    <row r="3" spans="1:14" ht="12.75" x14ac:dyDescent="0.2">
      <c r="A3" s="1">
        <v>2</v>
      </c>
      <c r="B3" s="1" t="str">
        <f>VLOOKUP(A3, 'Purchase Register'!B:E, 2, FALSE)</f>
        <v>Nestle Water Pure Life</v>
      </c>
      <c r="C3" s="1" t="str">
        <f>VLOOKUP(A3, 'Purchase Register'!B:E, 3, FALSE)</f>
        <v>1500 ml</v>
      </c>
      <c r="D3" s="1" t="str">
        <f>VLOOKUP(B3, 'Purchase Register'!C:F, 3, FALSE)</f>
        <v>water</v>
      </c>
      <c r="E3" s="1">
        <f>VLOOKUP(C3, 'Purchase Register'!D:G, 3, FALSE)</f>
        <v>1000</v>
      </c>
      <c r="F3" s="1">
        <f>VLOOKUP(A3, 'Sales Register'!A:G, 6, FALSE)</f>
        <v>0</v>
      </c>
      <c r="G3" s="3">
        <f t="shared" si="0"/>
        <v>1000</v>
      </c>
      <c r="H3" s="1">
        <f>VLOOKUP(A3, 'Purchase Register'!B:I, 6, FALSE)</f>
        <v>100</v>
      </c>
      <c r="I3" s="1">
        <f>VLOOKUP(A3, 'Purchase Register'!B:I, 7, FALSE)</f>
        <v>200</v>
      </c>
      <c r="J3" s="3">
        <f t="shared" ref="J3:K3" si="4">E3*H3</f>
        <v>100000</v>
      </c>
      <c r="K3" s="3">
        <f t="shared" si="4"/>
        <v>0</v>
      </c>
      <c r="L3" s="3" t="str">
        <f t="shared" si="2"/>
        <v>Available</v>
      </c>
      <c r="M3" s="1">
        <v>500</v>
      </c>
      <c r="N3" s="3" t="str">
        <f t="shared" si="3"/>
        <v>No</v>
      </c>
    </row>
    <row r="4" spans="1:14" ht="12.75" x14ac:dyDescent="0.2">
      <c r="A4" s="1">
        <v>3</v>
      </c>
      <c r="B4" s="1" t="str">
        <f>VLOOKUP(A4, 'Purchase Register'!B:E, 2, FALSE)</f>
        <v>Nestle Water Pure Life</v>
      </c>
      <c r="C4" s="1" t="str">
        <f>VLOOKUP(A4, 'Purchase Register'!B:E, 3, FALSE)</f>
        <v>5 Litre</v>
      </c>
      <c r="D4" s="1" t="str">
        <f>VLOOKUP(B4, 'Purchase Register'!C:F, 3, FALSE)</f>
        <v>water</v>
      </c>
      <c r="E4" s="1">
        <f>VLOOKUP(C4, 'Purchase Register'!D:G, 3, FALSE)</f>
        <v>1000</v>
      </c>
      <c r="F4" s="1">
        <f>VLOOKUP(A4, 'Sales Register'!A:G, 6, FALSE)</f>
        <v>0</v>
      </c>
      <c r="G4" s="3">
        <f t="shared" si="0"/>
        <v>1000</v>
      </c>
      <c r="H4" s="1">
        <f>VLOOKUP(A4, 'Purchase Register'!B:I, 6, FALSE)</f>
        <v>200</v>
      </c>
      <c r="I4" s="1">
        <f>VLOOKUP(A4, 'Purchase Register'!B:I, 7, FALSE)</f>
        <v>400</v>
      </c>
      <c r="J4" s="3">
        <f t="shared" ref="J4:K4" si="5">E4*H4</f>
        <v>200000</v>
      </c>
      <c r="K4" s="3">
        <f t="shared" si="5"/>
        <v>0</v>
      </c>
      <c r="L4" s="3" t="str">
        <f t="shared" si="2"/>
        <v>Available</v>
      </c>
      <c r="M4" s="1">
        <v>500</v>
      </c>
      <c r="N4" s="3" t="str">
        <f t="shared" si="3"/>
        <v>No</v>
      </c>
    </row>
    <row r="5" spans="1:14" ht="12.75" x14ac:dyDescent="0.2">
      <c r="A5" s="1">
        <v>4</v>
      </c>
      <c r="B5" s="1" t="str">
        <f>VLOOKUP(A5, 'Purchase Register'!B:E, 2, FALSE)</f>
        <v>Nestle Water Pure Life</v>
      </c>
      <c r="C5" s="1" t="str">
        <f>VLOOKUP(A5, 'Purchase Register'!B:E, 3, FALSE)</f>
        <v>19 Litre</v>
      </c>
      <c r="D5" s="1" t="str">
        <f>VLOOKUP(B5, 'Purchase Register'!C:F, 3, FALSE)</f>
        <v>water</v>
      </c>
      <c r="E5" s="1">
        <f>VLOOKUP(C5, 'Purchase Register'!D:G, 3, FALSE)</f>
        <v>1000</v>
      </c>
      <c r="F5" s="1">
        <f>VLOOKUP(A5, 'Sales Register'!A:G, 6, FALSE)</f>
        <v>0</v>
      </c>
      <c r="G5" s="3">
        <f t="shared" si="0"/>
        <v>1000</v>
      </c>
      <c r="H5" s="1">
        <f>VLOOKUP(A5, 'Purchase Register'!B:I, 6, FALSE)</f>
        <v>500</v>
      </c>
      <c r="I5" s="1">
        <f>VLOOKUP(A5, 'Purchase Register'!B:I, 7, FALSE)</f>
        <v>1000</v>
      </c>
      <c r="J5" s="3">
        <f t="shared" ref="J5:K5" si="6">E5*H5</f>
        <v>500000</v>
      </c>
      <c r="K5" s="3">
        <f t="shared" si="6"/>
        <v>0</v>
      </c>
      <c r="L5" s="3" t="str">
        <f t="shared" si="2"/>
        <v>Available</v>
      </c>
      <c r="M5" s="1">
        <v>500</v>
      </c>
      <c r="N5" s="3" t="str">
        <f t="shared" si="3"/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Company Infomation</vt:lpstr>
      <vt:lpstr>Purchase Order</vt:lpstr>
      <vt:lpstr>Stock Received</vt:lpstr>
      <vt:lpstr>Purchase Register</vt:lpstr>
      <vt:lpstr>Customer Order</vt:lpstr>
      <vt:lpstr>Invoice</vt:lpstr>
      <vt:lpstr>Sales Register</vt:lpstr>
      <vt:lpstr>Stock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Faisal Gillani</cp:lastModifiedBy>
  <dcterms:modified xsi:type="dcterms:W3CDTF">2025-11-20T08:16:03Z</dcterms:modified>
</cp:coreProperties>
</file>